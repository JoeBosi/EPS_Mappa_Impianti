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nitori_No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<sst xmlns="http://schemas.openxmlformats.org/spreadsheetml/2006/main" count="432" uniqueCount="130">
  <si>
    <t xml:space="preserve">Regione</t>
  </si>
  <si>
    <t xml:space="preserve">Imp. Regione</t>
  </si>
  <si>
    <t xml:space="preserve">kW Regione</t>
  </si>
  <si>
    <t xml:space="preserve">Provincia</t>
  </si>
  <si>
    <t xml:space="preserve">Imp. Prov.</t>
  </si>
  <si>
    <t xml:space="preserve">kW Prov.</t>
  </si>
  <si>
    <t xml:space="preserve">Fornitore</t>
  </si>
  <si>
    <t xml:space="preserve">Telefono</t>
  </si>
  <si>
    <t xml:space="preserve">Email</t>
  </si>
  <si>
    <t xml:space="preserve">Fatturato</t>
  </si>
  <si>
    <t xml:space="preserve">Dipendenti</t>
  </si>
  <si>
    <t xml:space="preserve">Sito web</t>
  </si>
  <si>
    <t xml:space="preserve">Lat</t>
  </si>
  <si>
    <t xml:space="preserve">Lng</t>
  </si>
  <si>
    <t xml:space="preserve">Stato verifica</t>
  </si>
  <si>
    <t xml:space="preserve">Lombardia</t>
  </si>
  <si>
    <t xml:space="preserve">Milano (MI)</t>
  </si>
  <si>
    <t xml:space="preserve">SR Elettrotecnica</t>
  </si>
  <si>
    <t xml:space="preserve">351 3729093</t>
  </si>
  <si>
    <t xml:space="preserve">info@srelettrotecnica.it</t>
  </si>
  <si>
    <t xml:space="preserve">n.d. (visura)</t>
  </si>
  <si>
    <t xml:space="preserve">Tel+email verificati</t>
  </si>
  <si>
    <t xml:space="preserve">Energy Team S.r.l.</t>
  </si>
  <si>
    <t xml:space="preserve">0331 324959</t>
  </si>
  <si>
    <t xml:space="preserve">(modulo sito)</t>
  </si>
  <si>
    <t xml:space="preserve">Tel verificato; email da sito</t>
  </si>
  <si>
    <t xml:space="preserve">KRK Energy Service S.r.l.</t>
  </si>
  <si>
    <t xml:space="preserve">0363 1591034</t>
  </si>
  <si>
    <t xml:space="preserve">info@krkenergyservice.com</t>
  </si>
  <si>
    <t xml:space="preserve">Elettrica Rogeno S.r.l.</t>
  </si>
  <si>
    <t xml:space="preserve">031 876147</t>
  </si>
  <si>
    <t xml:space="preserve">info@elettricarogeno.it</t>
  </si>
  <si>
    <t xml:space="preserve">Gruppo Mossali</t>
  </si>
  <si>
    <t xml:space="preserve">030 737097</t>
  </si>
  <si>
    <t xml:space="preserve">info@gruppomossali.com</t>
  </si>
  <si>
    <t xml:space="preserve">Myenergy S.p.A.</t>
  </si>
  <si>
    <t xml:space="preserve">(form sito)</t>
  </si>
  <si>
    <t xml:space="preserve">~110 mln EUR (dich.)</t>
  </si>
  <si>
    <t xml:space="preserve">~95 (dich.)</t>
  </si>
  <si>
    <t xml:space="preserve">Sede/dati verificati; contatti via form</t>
  </si>
  <si>
    <t xml:space="preserve">Corna Impianti S.r.l.</t>
  </si>
  <si>
    <t xml:space="preserve">035 4540660</t>
  </si>
  <si>
    <t xml:space="preserve">(form; social@corna.it su FB)</t>
  </si>
  <si>
    <t xml:space="preserve">Tel verificato; email via form</t>
  </si>
  <si>
    <t xml:space="preserve">Elettromeccanica Merlotti S.r.l.</t>
  </si>
  <si>
    <t xml:space="preserve">0331 566867</t>
  </si>
  <si>
    <t xml:space="preserve">1.581.683 EUR (2023)</t>
  </si>
  <si>
    <t xml:space="preserve">20-49</t>
  </si>
  <si>
    <t xml:space="preserve">Tel+fatturato+dip verificati; email via form</t>
  </si>
  <si>
    <t xml:space="preserve">Emme Esse Solar</t>
  </si>
  <si>
    <t xml:space="preserve">02 92108704</t>
  </si>
  <si>
    <t xml:space="preserve">Dentro Il Sole S.r.l.</t>
  </si>
  <si>
    <t xml:space="preserve">02 94435188</t>
  </si>
  <si>
    <t xml:space="preserve">n.d. (no email pubblica)</t>
  </si>
  <si>
    <t xml:space="preserve">3-6 mln EUR (2023)</t>
  </si>
  <si>
    <t xml:space="preserve">n.d. (da reperire)</t>
  </si>
  <si>
    <t xml:space="preserve">Tel+fatturato verificati; nessun sito/email</t>
  </si>
  <si>
    <t xml:space="preserve">D.M.L. Idee (Impianti FV)</t>
  </si>
  <si>
    <t xml:space="preserve">039 2242708</t>
  </si>
  <si>
    <t xml:space="preserve">info@dmlidee.com</t>
  </si>
  <si>
    <t xml:space="preserve">Zd Mechatronics S.r.l.</t>
  </si>
  <si>
    <t xml:space="preserve">02 95746283</t>
  </si>
  <si>
    <t xml:space="preserve">6-10</t>
  </si>
  <si>
    <t xml:space="preserve">Petalo S.r.l.</t>
  </si>
  <si>
    <t xml:space="preserve">039 2262423</t>
  </si>
  <si>
    <t xml:space="preserve">info@petalo.net</t>
  </si>
  <si>
    <t xml:space="preserve">Intech Group S.r.l.</t>
  </si>
  <si>
    <t xml:space="preserve">0331 561021</t>
  </si>
  <si>
    <t xml:space="preserve">a.bottini@intechgroup.eu</t>
  </si>
  <si>
    <t xml:space="preserve">1,5-3 mln EUR (2020)</t>
  </si>
  <si>
    <t xml:space="preserve">EMV Group</t>
  </si>
  <si>
    <t xml:space="preserve">02 93571759</t>
  </si>
  <si>
    <t xml:space="preserve">Tecnoelettrica Bragoni</t>
  </si>
  <si>
    <t xml:space="preserve">02 9243936</t>
  </si>
  <si>
    <t xml:space="preserve">(pagina contatti sito)</t>
  </si>
  <si>
    <t xml:space="preserve">Tel verificato; email via sito</t>
  </si>
  <si>
    <t xml:space="preserve">Bergamo (BG)</t>
  </si>
  <si>
    <t xml:space="preserve">Monza e Brianza (MB)</t>
  </si>
  <si>
    <t xml:space="preserve">Veneto</t>
  </si>
  <si>
    <t xml:space="preserve">Padova (PD)</t>
  </si>
  <si>
    <t xml:space="preserve">MG Impianti S.r.l.</t>
  </si>
  <si>
    <t xml:space="preserve">049 9790651</t>
  </si>
  <si>
    <t xml:space="preserve">Veneco</t>
  </si>
  <si>
    <t xml:space="preserve">049 2276410</t>
  </si>
  <si>
    <t xml:space="preserve">info@veneco.it</t>
  </si>
  <si>
    <t xml:space="preserve">Munari Group S.r.l.</t>
  </si>
  <si>
    <t xml:space="preserve">info@munaririnnovabili.it</t>
  </si>
  <si>
    <t xml:space="preserve">Email verificata; tel via form</t>
  </si>
  <si>
    <t xml:space="preserve">ZR di Zannin Renato S.r.l.</t>
  </si>
  <si>
    <t xml:space="preserve">049 9125525</t>
  </si>
  <si>
    <t xml:space="preserve">600k-1,5 mln EUR (2024)</t>
  </si>
  <si>
    <t xml:space="preserve">Vicenza (VI)</t>
  </si>
  <si>
    <t xml:space="preserve">Venezia (VE)</t>
  </si>
  <si>
    <t xml:space="preserve">Treviso (TV)</t>
  </si>
  <si>
    <t xml:space="preserve">Emilia-Romagna</t>
  </si>
  <si>
    <t xml:space="preserve">Bologna (BO)</t>
  </si>
  <si>
    <t xml:space="preserve">Greentech Impianti S.r.l.</t>
  </si>
  <si>
    <t xml:space="preserve">051 6814567</t>
  </si>
  <si>
    <t xml:space="preserve">info@greentechimpianti.com</t>
  </si>
  <si>
    <t xml:space="preserve">(da sito)</t>
  </si>
  <si>
    <t xml:space="preserve">DA VERIFICARE (solo sito)</t>
  </si>
  <si>
    <t xml:space="preserve">Fineagroup (Finea Group Srl)</t>
  </si>
  <si>
    <t xml:space="preserve">Sede/P.IVA verificate; contatti via form</t>
  </si>
  <si>
    <t xml:space="preserve">Chiarini e Ferrari IT S.r.l.</t>
  </si>
  <si>
    <t xml:space="preserve">051 734270</t>
  </si>
  <si>
    <t xml:space="preserve">info@chiarinieferrari.it</t>
  </si>
  <si>
    <t xml:space="preserve">Piemonte</t>
  </si>
  <si>
    <t xml:space="preserve">Vercelli (VC)</t>
  </si>
  <si>
    <t xml:space="preserve">Azzoni Impianti (AM Elettronica)</t>
  </si>
  <si>
    <t xml:space="preserve">333 4864707</t>
  </si>
  <si>
    <t xml:space="preserve">(no email pubblica)</t>
  </si>
  <si>
    <t xml:space="preserve">Tel verificato (cell)</t>
  </si>
  <si>
    <t xml:space="preserve">EcoHouse S.r.l.s.</t>
  </si>
  <si>
    <t xml:space="preserve">334 7497002</t>
  </si>
  <si>
    <t xml:space="preserve">Tel verificato; SOSTITUISCE 'Energie Italiane' (portale SEO, sede in Liguria)</t>
  </si>
  <si>
    <t xml:space="preserve">Testa Marco &amp; C. S.r.l.</t>
  </si>
  <si>
    <t xml:space="preserve">0161 486912</t>
  </si>
  <si>
    <t xml:space="preserve">Tel verificato; SOSTITUISCE 'Valoresolare' (portale lead-gen)</t>
  </si>
  <si>
    <t xml:space="preserve">Toscana</t>
  </si>
  <si>
    <t xml:space="preserve">Grosseto (GR)</t>
  </si>
  <si>
    <t xml:space="preserve">Punto Clima</t>
  </si>
  <si>
    <t xml:space="preserve">0564 24716</t>
  </si>
  <si>
    <t xml:space="preserve">info@puntoclimagr.it</t>
  </si>
  <si>
    <t xml:space="preserve">Energy Impianti (Salutari)</t>
  </si>
  <si>
    <t xml:space="preserve">379 2946488</t>
  </si>
  <si>
    <t xml:space="preserve">Tel verificato</t>
  </si>
  <si>
    <t xml:space="preserve">New Service Group (N.S.G.)</t>
  </si>
  <si>
    <t xml:space="preserve">0564 417127</t>
  </si>
  <si>
    <t xml:space="preserve">FBC Italia (Gruppo FBC)</t>
  </si>
  <si>
    <t xml:space="preserve">Contatti via form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</si>
</sst>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"/>
    <numFmt numFmtId="167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u val="single"/>
      <sz val="10"/>
      <color rgb="FF0563C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E4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E43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1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28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34"/>
    <col collapsed="false" customWidth="true" hidden="false" outlineLevel="0" max="14" min="13" style="0" width="10"/>
    <col collapsed="false" customWidth="true" hidden="false" outlineLevel="0" max="15" min="15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3" t="n">
        <v>11</v>
      </c>
      <c r="C2" s="4" t="n">
        <v>2741.49</v>
      </c>
      <c r="D2" s="2" t="s">
        <v>16</v>
      </c>
      <c r="E2" s="3" t="n">
        <v>8</v>
      </c>
      <c r="F2" s="4" t="n">
        <v>2474.19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20</v>
      </c>
      <c r="L2" s="5" t="str">
        <f aca="false">HYPERLINK("https://www.srelettrotecnica.it","https://www.srelettrotecnica.it")</f>
        <v>https://www.srelettrotecnica.it</v>
      </c>
      <c r="M2" s="6" t="n">
        <v>45.575</v>
      </c>
      <c r="N2" s="6" t="n">
        <v>8.925</v>
      </c>
      <c r="O2" s="2" t="s">
        <v>21</v>
      </c>
    </row>
    <row r="3" customFormat="false" ht="15" hidden="false" customHeight="false" outlineLevel="0" collapsed="false">
      <c r="A3" s="2" t="s">
        <v>15</v>
      </c>
      <c r="B3" s="3" t="n">
        <v>11</v>
      </c>
      <c r="C3" s="4" t="n">
        <v>2741.49</v>
      </c>
      <c r="D3" s="2" t="s">
        <v>16</v>
      </c>
      <c r="E3" s="3" t="n">
        <v>8</v>
      </c>
      <c r="F3" s="4" t="n">
        <v>2474.19</v>
      </c>
      <c r="G3" s="2" t="s">
        <v>22</v>
      </c>
      <c r="H3" s="2" t="s">
        <v>23</v>
      </c>
      <c r="I3" s="2" t="s">
        <v>24</v>
      </c>
      <c r="J3" s="2" t="s">
        <v>20</v>
      </c>
      <c r="K3" s="2" t="s">
        <v>20</v>
      </c>
      <c r="L3" s="5" t="str">
        <f aca="false">HYPERLINK("https://www.energyteamimpianti.com","https://www.energyteamimpianti.com")</f>
        <v>https://www.energyteamimpianti.com</v>
      </c>
      <c r="M3" s="6" t="n">
        <v>45.611</v>
      </c>
      <c r="N3" s="6" t="n">
        <v>8.849</v>
      </c>
      <c r="O3" s="2" t="s">
        <v>25</v>
      </c>
    </row>
    <row r="4" customFormat="false" ht="15" hidden="false" customHeight="false" outlineLevel="0" collapsed="false">
      <c r="A4" s="2" t="s">
        <v>15</v>
      </c>
      <c r="B4" s="3" t="n">
        <v>11</v>
      </c>
      <c r="C4" s="4" t="n">
        <v>2741.49</v>
      </c>
      <c r="D4" s="2" t="s">
        <v>16</v>
      </c>
      <c r="E4" s="3" t="n">
        <v>8</v>
      </c>
      <c r="F4" s="4" t="n">
        <v>2474.19</v>
      </c>
      <c r="G4" s="2" t="s">
        <v>26</v>
      </c>
      <c r="H4" s="2" t="s">
        <v>27</v>
      </c>
      <c r="I4" s="2" t="s">
        <v>28</v>
      </c>
      <c r="J4" s="2" t="s">
        <v>20</v>
      </c>
      <c r="K4" s="2" t="s">
        <v>20</v>
      </c>
      <c r="L4" s="5" t="str">
        <f aca="false">HYPERLINK("https://www.krkenergyservice.com","https://www.krkenergyservice.com")</f>
        <v>https://www.krkenergyservice.com</v>
      </c>
      <c r="M4" s="6" t="n">
        <v>45.575</v>
      </c>
      <c r="N4" s="6" t="n">
        <v>9.768</v>
      </c>
      <c r="O4" s="2" t="s">
        <v>21</v>
      </c>
    </row>
    <row r="5" customFormat="false" ht="15" hidden="false" customHeight="false" outlineLevel="0" collapsed="false">
      <c r="A5" s="2" t="s">
        <v>15</v>
      </c>
      <c r="B5" s="3" t="n">
        <v>11</v>
      </c>
      <c r="C5" s="4" t="n">
        <v>2741.49</v>
      </c>
      <c r="D5" s="2" t="s">
        <v>16</v>
      </c>
      <c r="E5" s="3" t="n">
        <v>8</v>
      </c>
      <c r="F5" s="4" t="n">
        <v>2474.19</v>
      </c>
      <c r="G5" s="2" t="s">
        <v>29</v>
      </c>
      <c r="H5" s="2" t="s">
        <v>30</v>
      </c>
      <c r="I5" s="2" t="s">
        <v>31</v>
      </c>
      <c r="J5" s="2" t="s">
        <v>20</v>
      </c>
      <c r="K5" s="2" t="s">
        <v>20</v>
      </c>
      <c r="L5" s="5" t="str">
        <f aca="false">HYPERLINK("https://www.elettricarogeno.it","https://www.elettricarogeno.it")</f>
        <v>https://www.elettricarogeno.it</v>
      </c>
      <c r="M5" s="6" t="n">
        <v>45.787</v>
      </c>
      <c r="N5" s="6" t="n">
        <v>9.27</v>
      </c>
      <c r="O5" s="2" t="s">
        <v>21</v>
      </c>
    </row>
    <row r="6" customFormat="false" ht="15" hidden="false" customHeight="false" outlineLevel="0" collapsed="false">
      <c r="A6" s="2" t="s">
        <v>15</v>
      </c>
      <c r="B6" s="3" t="n">
        <v>11</v>
      </c>
      <c r="C6" s="4" t="n">
        <v>2741.49</v>
      </c>
      <c r="D6" s="2" t="s">
        <v>16</v>
      </c>
      <c r="E6" s="3" t="n">
        <v>8</v>
      </c>
      <c r="F6" s="4" t="n">
        <v>2474.19</v>
      </c>
      <c r="G6" s="2" t="s">
        <v>32</v>
      </c>
      <c r="H6" s="2" t="s">
        <v>33</v>
      </c>
      <c r="I6" s="2" t="s">
        <v>34</v>
      </c>
      <c r="J6" s="2" t="s">
        <v>20</v>
      </c>
      <c r="K6" s="2" t="s">
        <v>20</v>
      </c>
      <c r="L6" s="5" t="str">
        <f aca="false">HYPERLINK("https://www.gruppomossali.com","https://www.gruppomossali.com")</f>
        <v>https://www.gruppomossali.com</v>
      </c>
      <c r="M6" s="6" t="n">
        <v>45.575</v>
      </c>
      <c r="N6" s="6" t="n">
        <v>9.918</v>
      </c>
      <c r="O6" s="2" t="s">
        <v>21</v>
      </c>
    </row>
    <row r="7" customFormat="false" ht="23.85" hidden="false" customHeight="false" outlineLevel="0" collapsed="false">
      <c r="A7" s="2" t="s">
        <v>15</v>
      </c>
      <c r="B7" s="3" t="n">
        <v>11</v>
      </c>
      <c r="C7" s="4" t="n">
        <v>2741.49</v>
      </c>
      <c r="D7" s="2" t="s">
        <v>16</v>
      </c>
      <c r="E7" s="3" t="n">
        <v>8</v>
      </c>
      <c r="F7" s="4" t="n">
        <v>2474.19</v>
      </c>
      <c r="G7" s="2" t="s">
        <v>35</v>
      </c>
      <c r="H7" s="2" t="s">
        <v>36</v>
      </c>
      <c r="I7" s="2" t="s">
        <v>36</v>
      </c>
      <c r="J7" s="2" t="s">
        <v>37</v>
      </c>
      <c r="K7" s="2" t="s">
        <v>38</v>
      </c>
      <c r="L7" s="5" t="str">
        <f aca="false">HYPERLINK("https://www.myenergy.it","https://www.myenergy.it")</f>
        <v>https://www.myenergy.it</v>
      </c>
      <c r="M7" s="6" t="n">
        <v>45.409</v>
      </c>
      <c r="N7" s="6" t="n">
        <v>9.268</v>
      </c>
      <c r="O7" s="2" t="s">
        <v>39</v>
      </c>
    </row>
    <row r="8" customFormat="false" ht="15" hidden="false" customHeight="false" outlineLevel="0" collapsed="false">
      <c r="A8" s="2" t="s">
        <v>15</v>
      </c>
      <c r="B8" s="3" t="n">
        <v>11</v>
      </c>
      <c r="C8" s="4" t="n">
        <v>2741.49</v>
      </c>
      <c r="D8" s="2" t="s">
        <v>16</v>
      </c>
      <c r="E8" s="3" t="n">
        <v>8</v>
      </c>
      <c r="F8" s="4" t="n">
        <v>2474.19</v>
      </c>
      <c r="G8" s="2" t="s">
        <v>40</v>
      </c>
      <c r="H8" s="2" t="s">
        <v>41</v>
      </c>
      <c r="I8" s="2" t="s">
        <v>42</v>
      </c>
      <c r="J8" s="2" t="s">
        <v>20</v>
      </c>
      <c r="K8" s="2" t="s">
        <v>20</v>
      </c>
      <c r="L8" s="5" t="str">
        <f aca="false">HYPERLINK("https://www.corna.it","https://www.corna.it")</f>
        <v>https://www.corna.it</v>
      </c>
      <c r="M8" s="6" t="n">
        <v>45.658</v>
      </c>
      <c r="N8" s="6" t="n">
        <v>9.652</v>
      </c>
      <c r="O8" s="2" t="s">
        <v>43</v>
      </c>
    </row>
    <row r="9" customFormat="false" ht="23.85" hidden="false" customHeight="false" outlineLevel="0" collapsed="false">
      <c r="A9" s="2" t="s">
        <v>15</v>
      </c>
      <c r="B9" s="3" t="n">
        <v>11</v>
      </c>
      <c r="C9" s="4" t="n">
        <v>2741.49</v>
      </c>
      <c r="D9" s="2" t="s">
        <v>16</v>
      </c>
      <c r="E9" s="3" t="n">
        <v>8</v>
      </c>
      <c r="F9" s="4" t="n">
        <v>2474.19</v>
      </c>
      <c r="G9" s="2" t="s">
        <v>44</v>
      </c>
      <c r="H9" s="2" t="s">
        <v>45</v>
      </c>
      <c r="I9" s="2" t="s">
        <v>36</v>
      </c>
      <c r="J9" s="2" t="s">
        <v>46</v>
      </c>
      <c r="K9" s="2" t="s">
        <v>47</v>
      </c>
      <c r="L9" s="5" t="str">
        <f aca="false">HYPERLINK("https://elettromerlotti.it","https://elettromerlotti.it")</f>
        <v>https://elettromerlotti.it</v>
      </c>
      <c r="M9" s="6" t="n">
        <v>45.542</v>
      </c>
      <c r="N9" s="6" t="n">
        <v>8.887</v>
      </c>
      <c r="O9" s="2" t="s">
        <v>48</v>
      </c>
    </row>
    <row r="10" customFormat="false" ht="15" hidden="false" customHeight="false" outlineLevel="0" collapsed="false">
      <c r="A10" s="2" t="s">
        <v>15</v>
      </c>
      <c r="B10" s="3" t="n">
        <v>11</v>
      </c>
      <c r="C10" s="4" t="n">
        <v>2741.49</v>
      </c>
      <c r="D10" s="2" t="s">
        <v>16</v>
      </c>
      <c r="E10" s="3" t="n">
        <v>8</v>
      </c>
      <c r="F10" s="4" t="n">
        <v>2474.19</v>
      </c>
      <c r="G10" s="2" t="s">
        <v>49</v>
      </c>
      <c r="H10" s="2" t="s">
        <v>50</v>
      </c>
      <c r="I10" s="2" t="s">
        <v>24</v>
      </c>
      <c r="J10" s="2" t="s">
        <v>20</v>
      </c>
      <c r="K10" s="2" t="s">
        <v>20</v>
      </c>
      <c r="L10" s="5" t="str">
        <f aca="false">HYPERLINK("https://www.emmeessesolar.it","https://www.emmeessesolar.it")</f>
        <v>https://www.emmeessesolar.it</v>
      </c>
      <c r="M10" s="6" t="n">
        <v>45.523</v>
      </c>
      <c r="N10" s="6" t="n">
        <v>9.334</v>
      </c>
      <c r="O10" s="2" t="s">
        <v>25</v>
      </c>
    </row>
    <row r="11" customFormat="false" ht="23.85" hidden="false" customHeight="false" outlineLevel="0" collapsed="false">
      <c r="A11" s="2" t="s">
        <v>15</v>
      </c>
      <c r="B11" s="3" t="n">
        <v>11</v>
      </c>
      <c r="C11" s="4" t="n">
        <v>2741.49</v>
      </c>
      <c r="D11" s="2" t="s">
        <v>16</v>
      </c>
      <c r="E11" s="3" t="n">
        <v>8</v>
      </c>
      <c r="F11" s="4" t="n">
        <v>2474.19</v>
      </c>
      <c r="G11" s="2" t="s">
        <v>51</v>
      </c>
      <c r="H11" s="2" t="s">
        <v>52</v>
      </c>
      <c r="I11" s="2" t="s">
        <v>53</v>
      </c>
      <c r="J11" s="2" t="s">
        <v>54</v>
      </c>
      <c r="K11" s="2" t="s">
        <v>20</v>
      </c>
      <c r="L11" s="2" t="s">
        <v>55</v>
      </c>
      <c r="M11" s="6" t="n">
        <v>45.532</v>
      </c>
      <c r="N11" s="6" t="n">
        <v>9.403</v>
      </c>
      <c r="O11" s="2" t="s">
        <v>56</v>
      </c>
    </row>
    <row r="12" customFormat="false" ht="15" hidden="false" customHeight="false" outlineLevel="0" collapsed="false">
      <c r="A12" s="2" t="s">
        <v>15</v>
      </c>
      <c r="B12" s="3" t="n">
        <v>11</v>
      </c>
      <c r="C12" s="4" t="n">
        <v>2741.49</v>
      </c>
      <c r="D12" s="2" t="s">
        <v>16</v>
      </c>
      <c r="E12" s="3" t="n">
        <v>8</v>
      </c>
      <c r="F12" s="4" t="n">
        <v>2474.19</v>
      </c>
      <c r="G12" s="2" t="s">
        <v>57</v>
      </c>
      <c r="H12" s="2" t="s">
        <v>58</v>
      </c>
      <c r="I12" s="2" t="s">
        <v>59</v>
      </c>
      <c r="J12" s="2" t="s">
        <v>20</v>
      </c>
      <c r="K12" s="2" t="s">
        <v>20</v>
      </c>
      <c r="L12" s="5" t="str">
        <f aca="false">HYPERLINK("https://www.dmlidee.com","https://www.dmlidee.com")</f>
        <v>https://www.dmlidee.com</v>
      </c>
      <c r="M12" s="6" t="n">
        <v>45.553</v>
      </c>
      <c r="N12" s="6" t="n">
        <v>9.288</v>
      </c>
      <c r="O12" s="2" t="s">
        <v>21</v>
      </c>
    </row>
    <row r="13" customFormat="false" ht="15" hidden="false" customHeight="false" outlineLevel="0" collapsed="false">
      <c r="A13" s="2" t="s">
        <v>15</v>
      </c>
      <c r="B13" s="3" t="n">
        <v>11</v>
      </c>
      <c r="C13" s="4" t="n">
        <v>2741.49</v>
      </c>
      <c r="D13" s="2" t="s">
        <v>16</v>
      </c>
      <c r="E13" s="3" t="n">
        <v>8</v>
      </c>
      <c r="F13" s="4" t="n">
        <v>2474.19</v>
      </c>
      <c r="G13" s="2" t="s">
        <v>60</v>
      </c>
      <c r="H13" s="2" t="s">
        <v>61</v>
      </c>
      <c r="I13" s="2" t="s">
        <v>36</v>
      </c>
      <c r="J13" s="2" t="s">
        <v>20</v>
      </c>
      <c r="K13" s="2" t="s">
        <v>62</v>
      </c>
      <c r="L13" s="5" t="str">
        <f aca="false">HYPERLINK("https://www.zdmechatronics.it","https://www.zdmechatronics.it")</f>
        <v>https://www.zdmechatronics.it</v>
      </c>
      <c r="M13" s="6" t="n">
        <v>45.5374</v>
      </c>
      <c r="N13" s="6" t="n">
        <v>9.4028</v>
      </c>
      <c r="O13" s="2" t="s">
        <v>43</v>
      </c>
    </row>
    <row r="14" customFormat="false" ht="15" hidden="false" customHeight="false" outlineLevel="0" collapsed="false">
      <c r="A14" s="2" t="s">
        <v>15</v>
      </c>
      <c r="B14" s="3" t="n">
        <v>11</v>
      </c>
      <c r="C14" s="4" t="n">
        <v>2741.49</v>
      </c>
      <c r="D14" s="2" t="s">
        <v>16</v>
      </c>
      <c r="E14" s="3" t="n">
        <v>8</v>
      </c>
      <c r="F14" s="4" t="n">
        <v>2474.19</v>
      </c>
      <c r="G14" s="2" t="s">
        <v>63</v>
      </c>
      <c r="H14" s="2" t="s">
        <v>64</v>
      </c>
      <c r="I14" s="2" t="s">
        <v>65</v>
      </c>
      <c r="J14" s="2" t="s">
        <v>20</v>
      </c>
      <c r="K14" s="2" t="s">
        <v>20</v>
      </c>
      <c r="L14" s="5" t="str">
        <f aca="false">HYPERLINK("https://www.petalo.net","https://www.petalo.net")</f>
        <v>https://www.petalo.net</v>
      </c>
      <c r="M14" s="6" t="n">
        <v>45.679</v>
      </c>
      <c r="N14" s="6" t="n">
        <v>9.387</v>
      </c>
      <c r="O14" s="2" t="s">
        <v>21</v>
      </c>
    </row>
    <row r="15" customFormat="false" ht="23.85" hidden="false" customHeight="false" outlineLevel="0" collapsed="false">
      <c r="A15" s="2" t="s">
        <v>15</v>
      </c>
      <c r="B15" s="3" t="n">
        <v>11</v>
      </c>
      <c r="C15" s="4" t="n">
        <v>2741.49</v>
      </c>
      <c r="D15" s="2" t="s">
        <v>16</v>
      </c>
      <c r="E15" s="3" t="n">
        <v>8</v>
      </c>
      <c r="F15" s="4" t="n">
        <v>2474.19</v>
      </c>
      <c r="G15" s="2" t="s">
        <v>66</v>
      </c>
      <c r="H15" s="2" t="s">
        <v>67</v>
      </c>
      <c r="I15" s="2" t="s">
        <v>68</v>
      </c>
      <c r="J15" s="2" t="s">
        <v>69</v>
      </c>
      <c r="K15" s="2" t="s">
        <v>20</v>
      </c>
      <c r="L15" s="5" t="str">
        <f aca="false">HYPERLINK("https://www.intechgroup.eu","https://www.intechgroup.eu")</f>
        <v>https://www.intechgroup.eu</v>
      </c>
      <c r="M15" s="6" t="n">
        <v>45.5486</v>
      </c>
      <c r="N15" s="6" t="n">
        <v>8.8735</v>
      </c>
      <c r="O15" s="2" t="s">
        <v>21</v>
      </c>
    </row>
    <row r="16" customFormat="false" ht="15" hidden="false" customHeight="false" outlineLevel="0" collapsed="false">
      <c r="A16" s="2" t="s">
        <v>15</v>
      </c>
      <c r="B16" s="3" t="n">
        <v>11</v>
      </c>
      <c r="C16" s="4" t="n">
        <v>2741.49</v>
      </c>
      <c r="D16" s="2" t="s">
        <v>16</v>
      </c>
      <c r="E16" s="3" t="n">
        <v>8</v>
      </c>
      <c r="F16" s="4" t="n">
        <v>2474.19</v>
      </c>
      <c r="G16" s="2" t="s">
        <v>70</v>
      </c>
      <c r="H16" s="2" t="s">
        <v>71</v>
      </c>
      <c r="I16" s="2" t="s">
        <v>36</v>
      </c>
      <c r="J16" s="2" t="s">
        <v>20</v>
      </c>
      <c r="K16" s="2" t="s">
        <v>20</v>
      </c>
      <c r="L16" s="5" t="str">
        <f aca="false">HYPERLINK("https://www.emvgroup.eu","https://www.emvgroup.eu")</f>
        <v>https://www.emvgroup.eu</v>
      </c>
      <c r="M16" s="6" t="n">
        <v>45.571</v>
      </c>
      <c r="N16" s="6" t="n">
        <v>9.027</v>
      </c>
      <c r="O16" s="2" t="s">
        <v>43</v>
      </c>
    </row>
    <row r="17" customFormat="false" ht="15" hidden="false" customHeight="false" outlineLevel="0" collapsed="false">
      <c r="A17" s="2" t="s">
        <v>15</v>
      </c>
      <c r="B17" s="3" t="n">
        <v>11</v>
      </c>
      <c r="C17" s="4" t="n">
        <v>2741.49</v>
      </c>
      <c r="D17" s="2" t="s">
        <v>16</v>
      </c>
      <c r="E17" s="3" t="n">
        <v>8</v>
      </c>
      <c r="F17" s="4" t="n">
        <v>2474.19</v>
      </c>
      <c r="G17" s="2" t="s">
        <v>72</v>
      </c>
      <c r="H17" s="2" t="s">
        <v>73</v>
      </c>
      <c r="I17" s="2" t="s">
        <v>74</v>
      </c>
      <c r="J17" s="2" t="s">
        <v>20</v>
      </c>
      <c r="K17" s="2" t="s">
        <v>20</v>
      </c>
      <c r="L17" s="5" t="str">
        <f aca="false">HYPERLINK("https://www.bragoni.com","https://www.bragoni.com")</f>
        <v>https://www.bragoni.com</v>
      </c>
      <c r="M17" s="6" t="n">
        <v>45.469</v>
      </c>
      <c r="N17" s="6" t="n">
        <v>8.917</v>
      </c>
      <c r="O17" s="2" t="s">
        <v>75</v>
      </c>
    </row>
    <row r="18" customFormat="false" ht="15" hidden="false" customHeight="false" outlineLevel="0" collapsed="false">
      <c r="A18" s="2" t="s">
        <v>15</v>
      </c>
      <c r="B18" s="3" t="n">
        <v>11</v>
      </c>
      <c r="C18" s="4" t="n">
        <v>2741.49</v>
      </c>
      <c r="D18" s="2" t="s">
        <v>76</v>
      </c>
      <c r="E18" s="3" t="n">
        <v>2</v>
      </c>
      <c r="F18" s="4" t="n">
        <v>251.64</v>
      </c>
      <c r="G18" s="2" t="s">
        <v>26</v>
      </c>
      <c r="H18" s="2" t="s">
        <v>27</v>
      </c>
      <c r="I18" s="2" t="s">
        <v>28</v>
      </c>
      <c r="J18" s="2" t="s">
        <v>20</v>
      </c>
      <c r="K18" s="2" t="s">
        <v>20</v>
      </c>
      <c r="L18" s="5" t="str">
        <f aca="false">HYPERLINK("https://www.krkenergyservice.com","https://www.krkenergyservice.com")</f>
        <v>https://www.krkenergyservice.com</v>
      </c>
      <c r="M18" s="6" t="n">
        <v>45.575</v>
      </c>
      <c r="N18" s="6" t="n">
        <v>9.768</v>
      </c>
      <c r="O18" s="2" t="s">
        <v>21</v>
      </c>
    </row>
    <row r="19" customFormat="false" ht="15" hidden="false" customHeight="false" outlineLevel="0" collapsed="false">
      <c r="A19" s="2" t="s">
        <v>15</v>
      </c>
      <c r="B19" s="3" t="n">
        <v>11</v>
      </c>
      <c r="C19" s="4" t="n">
        <v>2741.49</v>
      </c>
      <c r="D19" s="2" t="s">
        <v>76</v>
      </c>
      <c r="E19" s="3" t="n">
        <v>2</v>
      </c>
      <c r="F19" s="4" t="n">
        <v>251.64</v>
      </c>
      <c r="G19" s="2" t="s">
        <v>17</v>
      </c>
      <c r="H19" s="2" t="s">
        <v>18</v>
      </c>
      <c r="I19" s="2" t="s">
        <v>19</v>
      </c>
      <c r="J19" s="2" t="s">
        <v>20</v>
      </c>
      <c r="K19" s="2" t="s">
        <v>20</v>
      </c>
      <c r="L19" s="5" t="str">
        <f aca="false">HYPERLINK("https://www.srelettrotecnica.it","https://www.srelettrotecnica.it")</f>
        <v>https://www.srelettrotecnica.it</v>
      </c>
      <c r="M19" s="6" t="n">
        <v>45.575</v>
      </c>
      <c r="N19" s="6" t="n">
        <v>8.925</v>
      </c>
      <c r="O19" s="2" t="s">
        <v>21</v>
      </c>
    </row>
    <row r="20" customFormat="false" ht="15" hidden="false" customHeight="false" outlineLevel="0" collapsed="false">
      <c r="A20" s="2" t="s">
        <v>15</v>
      </c>
      <c r="B20" s="3" t="n">
        <v>11</v>
      </c>
      <c r="C20" s="4" t="n">
        <v>2741.49</v>
      </c>
      <c r="D20" s="2" t="s">
        <v>76</v>
      </c>
      <c r="E20" s="3" t="n">
        <v>2</v>
      </c>
      <c r="F20" s="4" t="n">
        <v>251.64</v>
      </c>
      <c r="G20" s="2" t="s">
        <v>22</v>
      </c>
      <c r="H20" s="2" t="s">
        <v>23</v>
      </c>
      <c r="I20" s="2" t="s">
        <v>24</v>
      </c>
      <c r="J20" s="2" t="s">
        <v>20</v>
      </c>
      <c r="K20" s="2" t="s">
        <v>20</v>
      </c>
      <c r="L20" s="5" t="str">
        <f aca="false">HYPERLINK("https://www.energyteamimpianti.com","https://www.energyteamimpianti.com")</f>
        <v>https://www.energyteamimpianti.com</v>
      </c>
      <c r="M20" s="6" t="n">
        <v>45.611</v>
      </c>
      <c r="N20" s="6" t="n">
        <v>8.849</v>
      </c>
      <c r="O20" s="2" t="s">
        <v>25</v>
      </c>
    </row>
    <row r="21" customFormat="false" ht="15" hidden="false" customHeight="false" outlineLevel="0" collapsed="false">
      <c r="A21" s="2" t="s">
        <v>15</v>
      </c>
      <c r="B21" s="3" t="n">
        <v>11</v>
      </c>
      <c r="C21" s="4" t="n">
        <v>2741.49</v>
      </c>
      <c r="D21" s="2" t="s">
        <v>76</v>
      </c>
      <c r="E21" s="3" t="n">
        <v>2</v>
      </c>
      <c r="F21" s="4" t="n">
        <v>251.64</v>
      </c>
      <c r="G21" s="2" t="s">
        <v>29</v>
      </c>
      <c r="H21" s="2" t="s">
        <v>30</v>
      </c>
      <c r="I21" s="2" t="s">
        <v>31</v>
      </c>
      <c r="J21" s="2" t="s">
        <v>20</v>
      </c>
      <c r="K21" s="2" t="s">
        <v>20</v>
      </c>
      <c r="L21" s="5" t="str">
        <f aca="false">HYPERLINK("https://www.elettricarogeno.it","https://www.elettricarogeno.it")</f>
        <v>https://www.elettricarogeno.it</v>
      </c>
      <c r="M21" s="6" t="n">
        <v>45.787</v>
      </c>
      <c r="N21" s="6" t="n">
        <v>9.27</v>
      </c>
      <c r="O21" s="2" t="s">
        <v>21</v>
      </c>
    </row>
    <row r="22" customFormat="false" ht="15" hidden="false" customHeight="false" outlineLevel="0" collapsed="false">
      <c r="A22" s="2" t="s">
        <v>15</v>
      </c>
      <c r="B22" s="3" t="n">
        <v>11</v>
      </c>
      <c r="C22" s="4" t="n">
        <v>2741.49</v>
      </c>
      <c r="D22" s="2" t="s">
        <v>77</v>
      </c>
      <c r="E22" s="3" t="n">
        <v>1</v>
      </c>
      <c r="F22" s="4" t="n">
        <v>15.66</v>
      </c>
      <c r="G22" s="2" t="s">
        <v>26</v>
      </c>
      <c r="H22" s="2" t="s">
        <v>27</v>
      </c>
      <c r="I22" s="2" t="s">
        <v>28</v>
      </c>
      <c r="J22" s="2" t="s">
        <v>20</v>
      </c>
      <c r="K22" s="2" t="s">
        <v>20</v>
      </c>
      <c r="L22" s="5" t="str">
        <f aca="false">HYPERLINK("https://www.krkenergyservice.com","https://www.krkenergyservice.com")</f>
        <v>https://www.krkenergyservice.com</v>
      </c>
      <c r="M22" s="6" t="n">
        <v>45.575</v>
      </c>
      <c r="N22" s="6" t="n">
        <v>9.768</v>
      </c>
      <c r="O22" s="2" t="s">
        <v>21</v>
      </c>
    </row>
    <row r="23" customFormat="false" ht="15" hidden="false" customHeight="false" outlineLevel="0" collapsed="false">
      <c r="A23" s="2" t="s">
        <v>15</v>
      </c>
      <c r="B23" s="3" t="n">
        <v>11</v>
      </c>
      <c r="C23" s="4" t="n">
        <v>2741.49</v>
      </c>
      <c r="D23" s="2" t="s">
        <v>77</v>
      </c>
      <c r="E23" s="3" t="n">
        <v>1</v>
      </c>
      <c r="F23" s="4" t="n">
        <v>15.66</v>
      </c>
      <c r="G23" s="2" t="s">
        <v>29</v>
      </c>
      <c r="H23" s="2" t="s">
        <v>30</v>
      </c>
      <c r="I23" s="2" t="s">
        <v>31</v>
      </c>
      <c r="J23" s="2" t="s">
        <v>20</v>
      </c>
      <c r="K23" s="2" t="s">
        <v>20</v>
      </c>
      <c r="L23" s="5" t="str">
        <f aca="false">HYPERLINK("https://www.elettricarogeno.it","https://www.elettricarogeno.it")</f>
        <v>https://www.elettricarogeno.it</v>
      </c>
      <c r="M23" s="6" t="n">
        <v>45.787</v>
      </c>
      <c r="N23" s="6" t="n">
        <v>9.27</v>
      </c>
      <c r="O23" s="2" t="s">
        <v>21</v>
      </c>
    </row>
    <row r="24" customFormat="false" ht="15" hidden="false" customHeight="false" outlineLevel="0" collapsed="false">
      <c r="A24" s="2" t="s">
        <v>15</v>
      </c>
      <c r="B24" s="3" t="n">
        <v>11</v>
      </c>
      <c r="C24" s="4" t="n">
        <v>2741.49</v>
      </c>
      <c r="D24" s="2" t="s">
        <v>77</v>
      </c>
      <c r="E24" s="3" t="n">
        <v>1</v>
      </c>
      <c r="F24" s="4" t="n">
        <v>15.66</v>
      </c>
      <c r="G24" s="2" t="s">
        <v>17</v>
      </c>
      <c r="H24" s="2" t="s">
        <v>18</v>
      </c>
      <c r="I24" s="2" t="s">
        <v>19</v>
      </c>
      <c r="J24" s="2" t="s">
        <v>20</v>
      </c>
      <c r="K24" s="2" t="s">
        <v>20</v>
      </c>
      <c r="L24" s="5" t="str">
        <f aca="false">HYPERLINK("https://www.srelettrotecnica.it","https://www.srelettrotecnica.it")</f>
        <v>https://www.srelettrotecnica.it</v>
      </c>
      <c r="M24" s="6" t="n">
        <v>45.575</v>
      </c>
      <c r="N24" s="6" t="n">
        <v>8.925</v>
      </c>
      <c r="O24" s="2" t="s">
        <v>21</v>
      </c>
    </row>
    <row r="25" customFormat="false" ht="15" hidden="false" customHeight="false" outlineLevel="0" collapsed="false">
      <c r="A25" s="2" t="s">
        <v>15</v>
      </c>
      <c r="B25" s="3" t="n">
        <v>11</v>
      </c>
      <c r="C25" s="4" t="n">
        <v>2741.49</v>
      </c>
      <c r="D25" s="2" t="s">
        <v>77</v>
      </c>
      <c r="E25" s="3" t="n">
        <v>1</v>
      </c>
      <c r="F25" s="4" t="n">
        <v>15.66</v>
      </c>
      <c r="G25" s="2" t="s">
        <v>22</v>
      </c>
      <c r="H25" s="2" t="s">
        <v>23</v>
      </c>
      <c r="I25" s="2" t="s">
        <v>24</v>
      </c>
      <c r="J25" s="2" t="s">
        <v>20</v>
      </c>
      <c r="K25" s="2" t="s">
        <v>20</v>
      </c>
      <c r="L25" s="5" t="str">
        <f aca="false">HYPERLINK("https://www.energyteamimpianti.com","https://www.energyteamimpianti.com")</f>
        <v>https://www.energyteamimpianti.com</v>
      </c>
      <c r="M25" s="6" t="n">
        <v>45.611</v>
      </c>
      <c r="N25" s="6" t="n">
        <v>8.849</v>
      </c>
      <c r="O25" s="2" t="s">
        <v>25</v>
      </c>
    </row>
    <row r="26" customFormat="false" ht="15" hidden="false" customHeight="false" outlineLevel="0" collapsed="false">
      <c r="A26" s="2" t="s">
        <v>78</v>
      </c>
      <c r="B26" s="3" t="n">
        <v>7</v>
      </c>
      <c r="C26" s="4" t="n">
        <v>1108.2</v>
      </c>
      <c r="D26" s="2" t="s">
        <v>79</v>
      </c>
      <c r="E26" s="3" t="n">
        <v>2</v>
      </c>
      <c r="F26" s="4" t="n">
        <v>131.28</v>
      </c>
      <c r="G26" s="2" t="s">
        <v>80</v>
      </c>
      <c r="H26" s="2" t="s">
        <v>81</v>
      </c>
      <c r="I26" s="2" t="s">
        <v>24</v>
      </c>
      <c r="J26" s="2" t="s">
        <v>20</v>
      </c>
      <c r="K26" s="2" t="s">
        <v>20</v>
      </c>
      <c r="L26" s="5" t="str">
        <f aca="false">HYPERLINK("https://mgimpianti.net","https://mgimpianti.net")</f>
        <v>https://mgimpianti.net</v>
      </c>
      <c r="M26" s="6" t="n">
        <v>45.388</v>
      </c>
      <c r="N26" s="6" t="n">
        <v>12.012</v>
      </c>
      <c r="O26" s="2" t="s">
        <v>25</v>
      </c>
    </row>
    <row r="27" customFormat="false" ht="15" hidden="false" customHeight="false" outlineLevel="0" collapsed="false">
      <c r="A27" s="2" t="s">
        <v>78</v>
      </c>
      <c r="B27" s="3" t="n">
        <v>7</v>
      </c>
      <c r="C27" s="4" t="n">
        <v>1108.2</v>
      </c>
      <c r="D27" s="2" t="s">
        <v>79</v>
      </c>
      <c r="E27" s="3" t="n">
        <v>2</v>
      </c>
      <c r="F27" s="4" t="n">
        <v>131.28</v>
      </c>
      <c r="G27" s="2" t="s">
        <v>82</v>
      </c>
      <c r="H27" s="2" t="s">
        <v>83</v>
      </c>
      <c r="I27" s="2" t="s">
        <v>84</v>
      </c>
      <c r="J27" s="2" t="s">
        <v>20</v>
      </c>
      <c r="K27" s="2" t="s">
        <v>20</v>
      </c>
      <c r="L27" s="5" t="str">
        <f aca="false">HYPERLINK("https://veneco.it","https://veneco.it")</f>
        <v>https://veneco.it</v>
      </c>
      <c r="M27" s="6" t="n">
        <v>45.41</v>
      </c>
      <c r="N27" s="6" t="n">
        <v>11.88</v>
      </c>
      <c r="O27" s="2" t="s">
        <v>21</v>
      </c>
    </row>
    <row r="28" customFormat="false" ht="15" hidden="false" customHeight="false" outlineLevel="0" collapsed="false">
      <c r="A28" s="2" t="s">
        <v>78</v>
      </c>
      <c r="B28" s="3" t="n">
        <v>7</v>
      </c>
      <c r="C28" s="4" t="n">
        <v>1108.2</v>
      </c>
      <c r="D28" s="2" t="s">
        <v>79</v>
      </c>
      <c r="E28" s="3" t="n">
        <v>2</v>
      </c>
      <c r="F28" s="4" t="n">
        <v>131.28</v>
      </c>
      <c r="G28" s="2" t="s">
        <v>85</v>
      </c>
      <c r="H28" s="2" t="s">
        <v>36</v>
      </c>
      <c r="I28" s="2" t="s">
        <v>86</v>
      </c>
      <c r="J28" s="2" t="s">
        <v>20</v>
      </c>
      <c r="K28" s="2" t="s">
        <v>20</v>
      </c>
      <c r="L28" s="5" t="str">
        <f aca="false">HYPERLINK("https://www.munarigroup.it","https://www.munarigroup.it")</f>
        <v>https://www.munarigroup.it</v>
      </c>
      <c r="M28" s="6" t="n">
        <v>45.555</v>
      </c>
      <c r="N28" s="6" t="n">
        <v>11.713</v>
      </c>
      <c r="O28" s="2" t="s">
        <v>87</v>
      </c>
    </row>
    <row r="29" customFormat="false" ht="23.85" hidden="false" customHeight="false" outlineLevel="0" collapsed="false">
      <c r="A29" s="2" t="s">
        <v>78</v>
      </c>
      <c r="B29" s="3" t="n">
        <v>7</v>
      </c>
      <c r="C29" s="4" t="n">
        <v>1108.2</v>
      </c>
      <c r="D29" s="2" t="s">
        <v>79</v>
      </c>
      <c r="E29" s="3" t="n">
        <v>2</v>
      </c>
      <c r="F29" s="4" t="n">
        <v>131.28</v>
      </c>
      <c r="G29" s="2" t="s">
        <v>88</v>
      </c>
      <c r="H29" s="2" t="s">
        <v>89</v>
      </c>
      <c r="I29" s="2" t="s">
        <v>36</v>
      </c>
      <c r="J29" s="2" t="s">
        <v>90</v>
      </c>
      <c r="K29" s="2" t="s">
        <v>20</v>
      </c>
      <c r="L29" s="5" t="str">
        <f aca="false">HYPERLINK("https://www.zrimpianti.it","https://www.zrimpianti.it")</f>
        <v>https://www.zrimpianti.it</v>
      </c>
      <c r="M29" s="6" t="n">
        <v>45.328</v>
      </c>
      <c r="N29" s="6" t="n">
        <v>11.872</v>
      </c>
      <c r="O29" s="2" t="s">
        <v>43</v>
      </c>
    </row>
    <row r="30" customFormat="false" ht="15" hidden="false" customHeight="false" outlineLevel="0" collapsed="false">
      <c r="A30" s="2" t="s">
        <v>78</v>
      </c>
      <c r="B30" s="3" t="n">
        <v>7</v>
      </c>
      <c r="C30" s="4" t="n">
        <v>1108.2</v>
      </c>
      <c r="D30" s="2" t="s">
        <v>91</v>
      </c>
      <c r="E30" s="3" t="n">
        <v>3</v>
      </c>
      <c r="F30" s="4" t="n">
        <v>929.78</v>
      </c>
      <c r="G30" s="2" t="s">
        <v>80</v>
      </c>
      <c r="H30" s="2" t="s">
        <v>81</v>
      </c>
      <c r="I30" s="2" t="s">
        <v>24</v>
      </c>
      <c r="J30" s="2" t="s">
        <v>20</v>
      </c>
      <c r="K30" s="2" t="s">
        <v>20</v>
      </c>
      <c r="L30" s="5" t="str">
        <f aca="false">HYPERLINK("https://mgimpianti.net","https://mgimpianti.net")</f>
        <v>https://mgimpianti.net</v>
      </c>
      <c r="M30" s="6" t="n">
        <v>45.388</v>
      </c>
      <c r="N30" s="6" t="n">
        <v>12.012</v>
      </c>
      <c r="O30" s="2" t="s">
        <v>25</v>
      </c>
    </row>
    <row r="31" customFormat="false" ht="15" hidden="false" customHeight="false" outlineLevel="0" collapsed="false">
      <c r="A31" s="2" t="s">
        <v>78</v>
      </c>
      <c r="B31" s="3" t="n">
        <v>7</v>
      </c>
      <c r="C31" s="4" t="n">
        <v>1108.2</v>
      </c>
      <c r="D31" s="2" t="s">
        <v>91</v>
      </c>
      <c r="E31" s="3" t="n">
        <v>3</v>
      </c>
      <c r="F31" s="4" t="n">
        <v>929.78</v>
      </c>
      <c r="G31" s="2" t="s">
        <v>82</v>
      </c>
      <c r="H31" s="2" t="s">
        <v>83</v>
      </c>
      <c r="I31" s="2" t="s">
        <v>84</v>
      </c>
      <c r="J31" s="2" t="s">
        <v>20</v>
      </c>
      <c r="K31" s="2" t="s">
        <v>20</v>
      </c>
      <c r="L31" s="5" t="str">
        <f aca="false">HYPERLINK("https://veneco.it","https://veneco.it")</f>
        <v>https://veneco.it</v>
      </c>
      <c r="M31" s="6" t="n">
        <v>45.41</v>
      </c>
      <c r="N31" s="6" t="n">
        <v>11.88</v>
      </c>
      <c r="O31" s="2" t="s">
        <v>21</v>
      </c>
    </row>
    <row r="32" customFormat="false" ht="15" hidden="false" customHeight="false" outlineLevel="0" collapsed="false">
      <c r="A32" s="2" t="s">
        <v>78</v>
      </c>
      <c r="B32" s="3" t="n">
        <v>7</v>
      </c>
      <c r="C32" s="4" t="n">
        <v>1108.2</v>
      </c>
      <c r="D32" s="2" t="s">
        <v>91</v>
      </c>
      <c r="E32" s="3" t="n">
        <v>3</v>
      </c>
      <c r="F32" s="4" t="n">
        <v>929.78</v>
      </c>
      <c r="G32" s="2" t="s">
        <v>85</v>
      </c>
      <c r="H32" s="2" t="s">
        <v>36</v>
      </c>
      <c r="I32" s="2" t="s">
        <v>86</v>
      </c>
      <c r="J32" s="2" t="s">
        <v>20</v>
      </c>
      <c r="K32" s="2" t="s">
        <v>20</v>
      </c>
      <c r="L32" s="5" t="str">
        <f aca="false">HYPERLINK("https://www.munarigroup.it","https://www.munarigroup.it")</f>
        <v>https://www.munarigroup.it</v>
      </c>
      <c r="M32" s="6" t="n">
        <v>45.555</v>
      </c>
      <c r="N32" s="6" t="n">
        <v>11.713</v>
      </c>
      <c r="O32" s="2" t="s">
        <v>87</v>
      </c>
    </row>
    <row r="33" customFormat="false" ht="23.85" hidden="false" customHeight="false" outlineLevel="0" collapsed="false">
      <c r="A33" s="2" t="s">
        <v>78</v>
      </c>
      <c r="B33" s="3" t="n">
        <v>7</v>
      </c>
      <c r="C33" s="4" t="n">
        <v>1108.2</v>
      </c>
      <c r="D33" s="2" t="s">
        <v>91</v>
      </c>
      <c r="E33" s="3" t="n">
        <v>3</v>
      </c>
      <c r="F33" s="4" t="n">
        <v>929.78</v>
      </c>
      <c r="G33" s="2" t="s">
        <v>88</v>
      </c>
      <c r="H33" s="2" t="s">
        <v>89</v>
      </c>
      <c r="I33" s="2" t="s">
        <v>36</v>
      </c>
      <c r="J33" s="2" t="s">
        <v>90</v>
      </c>
      <c r="K33" s="2" t="s">
        <v>20</v>
      </c>
      <c r="L33" s="5" t="str">
        <f aca="false">HYPERLINK("https://www.zrimpianti.it","https://www.zrimpianti.it")</f>
        <v>https://www.zrimpianti.it</v>
      </c>
      <c r="M33" s="6" t="n">
        <v>45.328</v>
      </c>
      <c r="N33" s="6" t="n">
        <v>11.872</v>
      </c>
      <c r="O33" s="2" t="s">
        <v>43</v>
      </c>
    </row>
    <row r="34" customFormat="false" ht="15" hidden="false" customHeight="false" outlineLevel="0" collapsed="false">
      <c r="A34" s="2" t="s">
        <v>78</v>
      </c>
      <c r="B34" s="3" t="n">
        <v>7</v>
      </c>
      <c r="C34" s="4" t="n">
        <v>1108.2</v>
      </c>
      <c r="D34" s="2" t="s">
        <v>92</v>
      </c>
      <c r="E34" s="3" t="n">
        <v>1</v>
      </c>
      <c r="F34" s="4" t="n">
        <v>18.72</v>
      </c>
      <c r="G34" s="2" t="s">
        <v>80</v>
      </c>
      <c r="H34" s="2" t="s">
        <v>81</v>
      </c>
      <c r="I34" s="2" t="s">
        <v>24</v>
      </c>
      <c r="J34" s="2" t="s">
        <v>20</v>
      </c>
      <c r="K34" s="2" t="s">
        <v>20</v>
      </c>
      <c r="L34" s="5" t="str">
        <f aca="false">HYPERLINK("https://mgimpianti.net","https://mgimpianti.net")</f>
        <v>https://mgimpianti.net</v>
      </c>
      <c r="M34" s="6" t="n">
        <v>45.388</v>
      </c>
      <c r="N34" s="6" t="n">
        <v>12.012</v>
      </c>
      <c r="O34" s="2" t="s">
        <v>25</v>
      </c>
    </row>
    <row r="35" customFormat="false" ht="15" hidden="false" customHeight="false" outlineLevel="0" collapsed="false">
      <c r="A35" s="2" t="s">
        <v>78</v>
      </c>
      <c r="B35" s="3" t="n">
        <v>7</v>
      </c>
      <c r="C35" s="4" t="n">
        <v>1108.2</v>
      </c>
      <c r="D35" s="2" t="s">
        <v>92</v>
      </c>
      <c r="E35" s="3" t="n">
        <v>1</v>
      </c>
      <c r="F35" s="4" t="n">
        <v>18.72</v>
      </c>
      <c r="G35" s="2" t="s">
        <v>82</v>
      </c>
      <c r="H35" s="2" t="s">
        <v>83</v>
      </c>
      <c r="I35" s="2" t="s">
        <v>84</v>
      </c>
      <c r="J35" s="2" t="s">
        <v>20</v>
      </c>
      <c r="K35" s="2" t="s">
        <v>20</v>
      </c>
      <c r="L35" s="5" t="str">
        <f aca="false">HYPERLINK("https://veneco.it","https://veneco.it")</f>
        <v>https://veneco.it</v>
      </c>
      <c r="M35" s="6" t="n">
        <v>45.41</v>
      </c>
      <c r="N35" s="6" t="n">
        <v>11.88</v>
      </c>
      <c r="O35" s="2" t="s">
        <v>21</v>
      </c>
    </row>
    <row r="36" customFormat="false" ht="23.85" hidden="false" customHeight="false" outlineLevel="0" collapsed="false">
      <c r="A36" s="2" t="s">
        <v>78</v>
      </c>
      <c r="B36" s="3" t="n">
        <v>7</v>
      </c>
      <c r="C36" s="4" t="n">
        <v>1108.2</v>
      </c>
      <c r="D36" s="2" t="s">
        <v>92</v>
      </c>
      <c r="E36" s="3" t="n">
        <v>1</v>
      </c>
      <c r="F36" s="4" t="n">
        <v>18.72</v>
      </c>
      <c r="G36" s="2" t="s">
        <v>88</v>
      </c>
      <c r="H36" s="2" t="s">
        <v>89</v>
      </c>
      <c r="I36" s="2" t="s">
        <v>36</v>
      </c>
      <c r="J36" s="2" t="s">
        <v>90</v>
      </c>
      <c r="K36" s="2" t="s">
        <v>20</v>
      </c>
      <c r="L36" s="5" t="str">
        <f aca="false">HYPERLINK("https://www.zrimpianti.it","https://www.zrimpianti.it")</f>
        <v>https://www.zrimpianti.it</v>
      </c>
      <c r="M36" s="6" t="n">
        <v>45.328</v>
      </c>
      <c r="N36" s="6" t="n">
        <v>11.872</v>
      </c>
      <c r="O36" s="2" t="s">
        <v>43</v>
      </c>
    </row>
    <row r="37" customFormat="false" ht="15" hidden="false" customHeight="false" outlineLevel="0" collapsed="false">
      <c r="A37" s="2" t="s">
        <v>78</v>
      </c>
      <c r="B37" s="3" t="n">
        <v>7</v>
      </c>
      <c r="C37" s="4" t="n">
        <v>1108.2</v>
      </c>
      <c r="D37" s="2" t="s">
        <v>92</v>
      </c>
      <c r="E37" s="3" t="n">
        <v>1</v>
      </c>
      <c r="F37" s="4" t="n">
        <v>18.72</v>
      </c>
      <c r="G37" s="2" t="s">
        <v>85</v>
      </c>
      <c r="H37" s="2" t="s">
        <v>36</v>
      </c>
      <c r="I37" s="2" t="s">
        <v>86</v>
      </c>
      <c r="J37" s="2" t="s">
        <v>20</v>
      </c>
      <c r="K37" s="2" t="s">
        <v>20</v>
      </c>
      <c r="L37" s="5" t="str">
        <f aca="false">HYPERLINK("https://www.munarigroup.it","https://www.munarigroup.it")</f>
        <v>https://www.munarigroup.it</v>
      </c>
      <c r="M37" s="6" t="n">
        <v>45.555</v>
      </c>
      <c r="N37" s="6" t="n">
        <v>11.713</v>
      </c>
      <c r="O37" s="2" t="s">
        <v>87</v>
      </c>
    </row>
    <row r="38" customFormat="false" ht="15" hidden="false" customHeight="false" outlineLevel="0" collapsed="false">
      <c r="A38" s="2" t="s">
        <v>78</v>
      </c>
      <c r="B38" s="3" t="n">
        <v>7</v>
      </c>
      <c r="C38" s="4" t="n">
        <v>1108.2</v>
      </c>
      <c r="D38" s="2" t="s">
        <v>93</v>
      </c>
      <c r="E38" s="3" t="n">
        <v>1</v>
      </c>
      <c r="F38" s="4" t="n">
        <v>28.42</v>
      </c>
      <c r="G38" s="2" t="s">
        <v>80</v>
      </c>
      <c r="H38" s="2" t="s">
        <v>81</v>
      </c>
      <c r="I38" s="2" t="s">
        <v>24</v>
      </c>
      <c r="J38" s="2" t="s">
        <v>20</v>
      </c>
      <c r="K38" s="2" t="s">
        <v>20</v>
      </c>
      <c r="L38" s="5" t="str">
        <f aca="false">HYPERLINK("https://mgimpianti.net","https://mgimpianti.net")</f>
        <v>https://mgimpianti.net</v>
      </c>
      <c r="M38" s="6" t="n">
        <v>45.388</v>
      </c>
      <c r="N38" s="6" t="n">
        <v>12.012</v>
      </c>
      <c r="O38" s="2" t="s">
        <v>25</v>
      </c>
    </row>
    <row r="39" customFormat="false" ht="15" hidden="false" customHeight="false" outlineLevel="0" collapsed="false">
      <c r="A39" s="2" t="s">
        <v>78</v>
      </c>
      <c r="B39" s="3" t="n">
        <v>7</v>
      </c>
      <c r="C39" s="4" t="n">
        <v>1108.2</v>
      </c>
      <c r="D39" s="2" t="s">
        <v>93</v>
      </c>
      <c r="E39" s="3" t="n">
        <v>1</v>
      </c>
      <c r="F39" s="4" t="n">
        <v>28.42</v>
      </c>
      <c r="G39" s="2" t="s">
        <v>82</v>
      </c>
      <c r="H39" s="2" t="s">
        <v>83</v>
      </c>
      <c r="I39" s="2" t="s">
        <v>84</v>
      </c>
      <c r="J39" s="2" t="s">
        <v>20</v>
      </c>
      <c r="K39" s="2" t="s">
        <v>20</v>
      </c>
      <c r="L39" s="5" t="str">
        <f aca="false">HYPERLINK("https://veneco.it","https://veneco.it")</f>
        <v>https://veneco.it</v>
      </c>
      <c r="M39" s="6" t="n">
        <v>45.41</v>
      </c>
      <c r="N39" s="6" t="n">
        <v>11.88</v>
      </c>
      <c r="O39" s="2" t="s">
        <v>21</v>
      </c>
    </row>
    <row r="40" customFormat="false" ht="23.85" hidden="false" customHeight="false" outlineLevel="0" collapsed="false">
      <c r="A40" s="2" t="s">
        <v>78</v>
      </c>
      <c r="B40" s="3" t="n">
        <v>7</v>
      </c>
      <c r="C40" s="4" t="n">
        <v>1108.2</v>
      </c>
      <c r="D40" s="2" t="s">
        <v>93</v>
      </c>
      <c r="E40" s="3" t="n">
        <v>1</v>
      </c>
      <c r="F40" s="4" t="n">
        <v>28.42</v>
      </c>
      <c r="G40" s="2" t="s">
        <v>88</v>
      </c>
      <c r="H40" s="2" t="s">
        <v>89</v>
      </c>
      <c r="I40" s="2" t="s">
        <v>36</v>
      </c>
      <c r="J40" s="2" t="s">
        <v>90</v>
      </c>
      <c r="K40" s="2" t="s">
        <v>20</v>
      </c>
      <c r="L40" s="5" t="str">
        <f aca="false">HYPERLINK("https://www.zrimpianti.it","https://www.zrimpianti.it")</f>
        <v>https://www.zrimpianti.it</v>
      </c>
      <c r="M40" s="6" t="n">
        <v>45.328</v>
      </c>
      <c r="N40" s="6" t="n">
        <v>11.872</v>
      </c>
      <c r="O40" s="2" t="s">
        <v>43</v>
      </c>
    </row>
    <row r="41" customFormat="false" ht="15" hidden="false" customHeight="false" outlineLevel="0" collapsed="false">
      <c r="A41" s="2" t="s">
        <v>78</v>
      </c>
      <c r="B41" s="3" t="n">
        <v>7</v>
      </c>
      <c r="C41" s="4" t="n">
        <v>1108.2</v>
      </c>
      <c r="D41" s="2" t="s">
        <v>93</v>
      </c>
      <c r="E41" s="3" t="n">
        <v>1</v>
      </c>
      <c r="F41" s="4" t="n">
        <v>28.42</v>
      </c>
      <c r="G41" s="2" t="s">
        <v>85</v>
      </c>
      <c r="H41" s="2" t="s">
        <v>36</v>
      </c>
      <c r="I41" s="2" t="s">
        <v>86</v>
      </c>
      <c r="J41" s="2" t="s">
        <v>20</v>
      </c>
      <c r="K41" s="2" t="s">
        <v>20</v>
      </c>
      <c r="L41" s="5" t="str">
        <f aca="false">HYPERLINK("https://www.munarigroup.it","https://www.munarigroup.it")</f>
        <v>https://www.munarigroup.it</v>
      </c>
      <c r="M41" s="6" t="n">
        <v>45.555</v>
      </c>
      <c r="N41" s="6" t="n">
        <v>11.713</v>
      </c>
      <c r="O41" s="2" t="s">
        <v>87</v>
      </c>
    </row>
    <row r="42" customFormat="false" ht="15" hidden="false" customHeight="false" outlineLevel="0" collapsed="false">
      <c r="A42" s="2" t="s">
        <v>94</v>
      </c>
      <c r="B42" s="3" t="n">
        <v>2</v>
      </c>
      <c r="C42" s="4" t="n">
        <v>252.96</v>
      </c>
      <c r="D42" s="2" t="s">
        <v>95</v>
      </c>
      <c r="E42" s="3" t="n">
        <v>2</v>
      </c>
      <c r="F42" s="4" t="n">
        <v>252.96</v>
      </c>
      <c r="G42" s="2" t="s">
        <v>96</v>
      </c>
      <c r="H42" s="2" t="s">
        <v>97</v>
      </c>
      <c r="I42" s="2" t="s">
        <v>98</v>
      </c>
      <c r="J42" s="2" t="s">
        <v>20</v>
      </c>
      <c r="K42" s="2" t="s">
        <v>20</v>
      </c>
      <c r="L42" s="5" t="str">
        <f aca="false">HYPERLINK("https://www.greentechimpianti.com","https://www.greentechimpianti.com")</f>
        <v>https://www.greentechimpianti.com</v>
      </c>
      <c r="M42" s="6" t="n">
        <v>44.58</v>
      </c>
      <c r="N42" s="6" t="n">
        <v>11.233</v>
      </c>
      <c r="O42" s="2" t="s">
        <v>21</v>
      </c>
    </row>
    <row r="43" customFormat="false" ht="15" hidden="false" customHeight="false" outlineLevel="0" collapsed="false">
      <c r="A43" s="2" t="s">
        <v>94</v>
      </c>
      <c r="B43" s="3" t="n">
        <v>2</v>
      </c>
      <c r="C43" s="4" t="n">
        <v>252.96</v>
      </c>
      <c r="D43" s="2" t="s">
        <v>95</v>
      </c>
      <c r="E43" s="3" t="n">
        <v>2</v>
      </c>
      <c r="F43" s="4" t="n">
        <v>252.96</v>
      </c>
      <c r="G43" s="2" t="s">
        <v>40</v>
      </c>
      <c r="H43" s="2" t="s">
        <v>99</v>
      </c>
      <c r="I43" s="2" t="s">
        <v>99</v>
      </c>
      <c r="J43" s="2" t="s">
        <v>20</v>
      </c>
      <c r="K43" s="2" t="s">
        <v>20</v>
      </c>
      <c r="L43" s="5" t="str">
        <f aca="false">HYPERLINK("https://cornaimpianti.it","https://cornaimpianti.it")</f>
        <v>https://cornaimpianti.it</v>
      </c>
      <c r="M43" s="6" t="n">
        <v>44.4949</v>
      </c>
      <c r="N43" s="6" t="n">
        <v>11.3426</v>
      </c>
      <c r="O43" s="2" t="s">
        <v>100</v>
      </c>
    </row>
    <row r="44" customFormat="false" ht="15" hidden="false" customHeight="false" outlineLevel="0" collapsed="false">
      <c r="A44" s="2" t="s">
        <v>94</v>
      </c>
      <c r="B44" s="3" t="n">
        <v>2</v>
      </c>
      <c r="C44" s="4" t="n">
        <v>252.96</v>
      </c>
      <c r="D44" s="2" t="s">
        <v>95</v>
      </c>
      <c r="E44" s="3" t="n">
        <v>2</v>
      </c>
      <c r="F44" s="4" t="n">
        <v>252.96</v>
      </c>
      <c r="G44" s="2" t="s">
        <v>101</v>
      </c>
      <c r="H44" s="2" t="s">
        <v>36</v>
      </c>
      <c r="I44" s="2" t="s">
        <v>36</v>
      </c>
      <c r="J44" s="2" t="s">
        <v>20</v>
      </c>
      <c r="K44" s="2" t="s">
        <v>20</v>
      </c>
      <c r="L44" s="5" t="str">
        <f aca="false">HYPERLINK("https://www.fineagroup.it","https://www.fineagroup.it")</f>
        <v>https://www.fineagroup.it</v>
      </c>
      <c r="M44" s="6" t="n">
        <v>44.638</v>
      </c>
      <c r="N44" s="6" t="n">
        <v>11.184</v>
      </c>
      <c r="O44" s="2" t="s">
        <v>102</v>
      </c>
    </row>
    <row r="45" customFormat="false" ht="15" hidden="false" customHeight="false" outlineLevel="0" collapsed="false">
      <c r="A45" s="2" t="s">
        <v>94</v>
      </c>
      <c r="B45" s="3" t="n">
        <v>2</v>
      </c>
      <c r="C45" s="4" t="n">
        <v>252.96</v>
      </c>
      <c r="D45" s="2" t="s">
        <v>95</v>
      </c>
      <c r="E45" s="3" t="n">
        <v>2</v>
      </c>
      <c r="F45" s="4" t="n">
        <v>252.96</v>
      </c>
      <c r="G45" s="2" t="s">
        <v>103</v>
      </c>
      <c r="H45" s="2" t="s">
        <v>104</v>
      </c>
      <c r="I45" s="2" t="s">
        <v>105</v>
      </c>
      <c r="J45" s="2" t="s">
        <v>20</v>
      </c>
      <c r="K45" s="2" t="s">
        <v>20</v>
      </c>
      <c r="L45" s="5" t="str">
        <f aca="false">HYPERLINK("https://www.chiarinieferrari.it","https://www.chiarinieferrari.it")</f>
        <v>https://www.chiarinieferrari.it</v>
      </c>
      <c r="M45" s="6" t="n">
        <v>44.546</v>
      </c>
      <c r="N45" s="6" t="n">
        <v>11.195</v>
      </c>
      <c r="O45" s="2" t="s">
        <v>21</v>
      </c>
    </row>
    <row r="46" customFormat="false" ht="15" hidden="false" customHeight="false" outlineLevel="0" collapsed="false">
      <c r="A46" s="2" t="s">
        <v>106</v>
      </c>
      <c r="B46" s="3" t="n">
        <v>2</v>
      </c>
      <c r="C46" s="4" t="n">
        <v>13.72</v>
      </c>
      <c r="D46" s="2" t="s">
        <v>107</v>
      </c>
      <c r="E46" s="3" t="n">
        <v>2</v>
      </c>
      <c r="F46" s="4" t="n">
        <v>13.72</v>
      </c>
      <c r="G46" s="2" t="s">
        <v>108</v>
      </c>
      <c r="H46" s="2" t="s">
        <v>109</v>
      </c>
      <c r="I46" s="2" t="s">
        <v>110</v>
      </c>
      <c r="J46" s="2" t="s">
        <v>20</v>
      </c>
      <c r="K46" s="2" t="s">
        <v>20</v>
      </c>
      <c r="L46" s="5" t="str">
        <f aca="false">HYPERLINK("https://www.azzoniimpianti.it","https://www.azzoniimpianti.it")</f>
        <v>https://www.azzoniimpianti.it</v>
      </c>
      <c r="M46" s="6" t="n">
        <v>45.187</v>
      </c>
      <c r="N46" s="6" t="n">
        <v>8.107</v>
      </c>
      <c r="O46" s="2" t="s">
        <v>111</v>
      </c>
    </row>
    <row r="47" customFormat="false" ht="15" hidden="false" customHeight="false" outlineLevel="0" collapsed="false">
      <c r="A47" s="2" t="s">
        <v>106</v>
      </c>
      <c r="B47" s="3" t="n">
        <v>2</v>
      </c>
      <c r="C47" s="4" t="n">
        <v>13.72</v>
      </c>
      <c r="D47" s="2" t="s">
        <v>107</v>
      </c>
      <c r="E47" s="3" t="n">
        <v>2</v>
      </c>
      <c r="F47" s="4" t="n">
        <v>13.72</v>
      </c>
      <c r="G47" s="2" t="s">
        <v>29</v>
      </c>
      <c r="H47" s="2" t="s">
        <v>30</v>
      </c>
      <c r="I47" s="2" t="s">
        <v>31</v>
      </c>
      <c r="J47" s="2" t="s">
        <v>20</v>
      </c>
      <c r="K47" s="2" t="s">
        <v>20</v>
      </c>
      <c r="L47" s="5" t="str">
        <f aca="false">HYPERLINK("https://www.elettricarogeno.it","https://www.elettricarogeno.it")</f>
        <v>https://www.elettricarogeno.it</v>
      </c>
      <c r="M47" s="6" t="n">
        <v>45.787</v>
      </c>
      <c r="N47" s="6" t="n">
        <v>9.27</v>
      </c>
      <c r="O47" s="2" t="s">
        <v>21</v>
      </c>
    </row>
    <row r="48" customFormat="false" ht="23.85" hidden="false" customHeight="false" outlineLevel="0" collapsed="false">
      <c r="A48" s="2" t="s">
        <v>106</v>
      </c>
      <c r="B48" s="3" t="n">
        <v>2</v>
      </c>
      <c r="C48" s="4" t="n">
        <v>13.72</v>
      </c>
      <c r="D48" s="2" t="s">
        <v>107</v>
      </c>
      <c r="E48" s="3" t="n">
        <v>2</v>
      </c>
      <c r="F48" s="4" t="n">
        <v>13.72</v>
      </c>
      <c r="G48" s="2" t="s">
        <v>112</v>
      </c>
      <c r="H48" s="2" t="s">
        <v>113</v>
      </c>
      <c r="I48" s="2" t="s">
        <v>110</v>
      </c>
      <c r="J48" s="2" t="s">
        <v>20</v>
      </c>
      <c r="K48" s="2" t="s">
        <v>20</v>
      </c>
      <c r="L48" s="5" t="str">
        <f aca="false">HYPERLINK("https://ecohousesrls.it","https://ecohousesrls.it")</f>
        <v>https://ecohousesrls.it</v>
      </c>
      <c r="M48" s="6" t="n">
        <v>45.358</v>
      </c>
      <c r="N48" s="6" t="n">
        <v>8.207</v>
      </c>
      <c r="O48" s="2" t="s">
        <v>114</v>
      </c>
    </row>
    <row r="49" customFormat="false" ht="23.85" hidden="false" customHeight="false" outlineLevel="0" collapsed="false">
      <c r="A49" s="2" t="s">
        <v>106</v>
      </c>
      <c r="B49" s="3" t="n">
        <v>2</v>
      </c>
      <c r="C49" s="4" t="n">
        <v>13.72</v>
      </c>
      <c r="D49" s="2" t="s">
        <v>107</v>
      </c>
      <c r="E49" s="3" t="n">
        <v>2</v>
      </c>
      <c r="F49" s="4" t="n">
        <v>13.72</v>
      </c>
      <c r="G49" s="2" t="s">
        <v>115</v>
      </c>
      <c r="H49" s="2" t="s">
        <v>116</v>
      </c>
      <c r="I49" s="2" t="s">
        <v>36</v>
      </c>
      <c r="J49" s="2" t="s">
        <v>20</v>
      </c>
      <c r="K49" s="2" t="s">
        <v>20</v>
      </c>
      <c r="L49" s="5" t="str">
        <f aca="false">HYPERLINK("https://www.testamarco.com","https://www.testamarco.com")</f>
        <v>https://www.testamarco.com</v>
      </c>
      <c r="M49" s="6" t="n">
        <v>45.236</v>
      </c>
      <c r="N49" s="6" t="n">
        <v>8.013</v>
      </c>
      <c r="O49" s="2" t="s">
        <v>117</v>
      </c>
    </row>
    <row r="50" customFormat="false" ht="15" hidden="false" customHeight="false" outlineLevel="0" collapsed="false">
      <c r="A50" s="2" t="s">
        <v>118</v>
      </c>
      <c r="B50" s="3" t="n">
        <v>1</v>
      </c>
      <c r="C50" s="4" t="n">
        <v>13.45</v>
      </c>
      <c r="D50" s="2" t="s">
        <v>119</v>
      </c>
      <c r="E50" s="3" t="n">
        <v>1</v>
      </c>
      <c r="F50" s="4" t="n">
        <v>13.45</v>
      </c>
      <c r="G50" s="2" t="s">
        <v>120</v>
      </c>
      <c r="H50" s="2" t="s">
        <v>121</v>
      </c>
      <c r="I50" s="2" t="s">
        <v>122</v>
      </c>
      <c r="J50" s="2" t="s">
        <v>20</v>
      </c>
      <c r="K50" s="2" t="s">
        <v>20</v>
      </c>
      <c r="L50" s="5" t="str">
        <f aca="false">HYPERLINK("https://www.puntoclimagr.it","https://www.puntoclimagr.it")</f>
        <v>https://www.puntoclimagr.it</v>
      </c>
      <c r="M50" s="6" t="n">
        <v>42.763</v>
      </c>
      <c r="N50" s="6" t="n">
        <v>11.113</v>
      </c>
      <c r="O50" s="2" t="s">
        <v>21</v>
      </c>
    </row>
    <row r="51" customFormat="false" ht="15" hidden="false" customHeight="false" outlineLevel="0" collapsed="false">
      <c r="A51" s="2" t="s">
        <v>118</v>
      </c>
      <c r="B51" s="3" t="n">
        <v>1</v>
      </c>
      <c r="C51" s="4" t="n">
        <v>13.45</v>
      </c>
      <c r="D51" s="2" t="s">
        <v>119</v>
      </c>
      <c r="E51" s="3" t="n">
        <v>1</v>
      </c>
      <c r="F51" s="4" t="n">
        <v>13.45</v>
      </c>
      <c r="G51" s="2" t="s">
        <v>123</v>
      </c>
      <c r="H51" s="2" t="s">
        <v>124</v>
      </c>
      <c r="I51" s="2" t="s">
        <v>110</v>
      </c>
      <c r="J51" s="2" t="s">
        <v>20</v>
      </c>
      <c r="K51" s="2" t="s">
        <v>20</v>
      </c>
      <c r="L51" s="5" t="str">
        <f aca="false">HYPERLINK("https://energyimpiantigrosseto.it","https://energyimpiantigrosseto.it")</f>
        <v>https://energyimpiantigrosseto.it</v>
      </c>
      <c r="M51" s="6" t="n">
        <v>42.924</v>
      </c>
      <c r="N51" s="6" t="n">
        <v>10.905</v>
      </c>
      <c r="O51" s="2" t="s">
        <v>125</v>
      </c>
    </row>
    <row r="52" customFormat="false" ht="15" hidden="false" customHeight="false" outlineLevel="0" collapsed="false">
      <c r="A52" s="2" t="s">
        <v>118</v>
      </c>
      <c r="B52" s="3" t="n">
        <v>1</v>
      </c>
      <c r="C52" s="4" t="n">
        <v>13.45</v>
      </c>
      <c r="D52" s="2" t="s">
        <v>119</v>
      </c>
      <c r="E52" s="3" t="n">
        <v>1</v>
      </c>
      <c r="F52" s="4" t="n">
        <v>13.45</v>
      </c>
      <c r="G52" s="2" t="s">
        <v>126</v>
      </c>
      <c r="H52" s="2" t="s">
        <v>127</v>
      </c>
      <c r="I52" s="2" t="s">
        <v>36</v>
      </c>
      <c r="J52" s="2" t="s">
        <v>20</v>
      </c>
      <c r="K52" s="2" t="s">
        <v>20</v>
      </c>
      <c r="L52" s="5" t="str">
        <f aca="false">HYPERLINK("https://nsgroup.it","https://nsgroup.it")</f>
        <v>https://nsgroup.it</v>
      </c>
      <c r="M52" s="6" t="n">
        <v>42.768</v>
      </c>
      <c r="N52" s="6" t="n">
        <v>11.114</v>
      </c>
      <c r="O52" s="2" t="s">
        <v>125</v>
      </c>
    </row>
    <row r="53" customFormat="false" ht="15" hidden="false" customHeight="false" outlineLevel="0" collapsed="false">
      <c r="A53" s="2" t="s">
        <v>118</v>
      </c>
      <c r="B53" s="3" t="n">
        <v>1</v>
      </c>
      <c r="C53" s="4" t="n">
        <v>13.45</v>
      </c>
      <c r="D53" s="2" t="s">
        <v>119</v>
      </c>
      <c r="E53" s="3" t="n">
        <v>1</v>
      </c>
      <c r="F53" s="4" t="n">
        <v>13.45</v>
      </c>
      <c r="G53" s="2" t="s">
        <v>128</v>
      </c>
      <c r="H53" s="2" t="s">
        <v>36</v>
      </c>
      <c r="I53" s="2" t="s">
        <v>36</v>
      </c>
      <c r="J53" s="2" t="s">
        <v>20</v>
      </c>
      <c r="K53" s="2" t="s">
        <v>20</v>
      </c>
      <c r="L53" s="5" t="str">
        <f aca="false">HYPERLINK("https://www.fbcitalia.it","https://www.fbcitalia.it")</f>
        <v>https://www.fbcitalia.it</v>
      </c>
      <c r="M53" s="6" t="n">
        <v>42.76</v>
      </c>
      <c r="N53" s="6" t="n">
        <v>11.107</v>
      </c>
      <c r="O53" s="2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2026-06-08T14:05:41Z</dcterms:created>
  <dc:creator>openpyxl</dc:creator>
  <dc:description/>
  <dc:language>en-US</dc:language>
  <cp:lastModifiedBy/>
  <dcterms:modified xsi:type="dcterms:W3CDTF">2026-06-08T14:05:41Z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