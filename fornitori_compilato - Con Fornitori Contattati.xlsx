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nitori_installator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<sst xmlns="http://schemas.openxmlformats.org/spreadsheetml/2006/main" count="395" uniqueCount="293">
  <si>
    <t xml:space="preserve">id</t>
  </si>
  <si>
    <t xml:space="preserve">nome</t>
  </si>
  <si>
    <t xml:space="preserve">indirizzo</t>
  </si>
  <si>
    <t xml:space="preserve">lat</t>
  </si>
  <si>
    <t xml:space="preserve">lng</t>
  </si>
  <si>
    <t xml:space="preserve">tel</t>
  </si>
  <si>
    <t xml:space="preserve">email</t>
  </si>
  <si>
    <t xml:space="preserve">note</t>
  </si>
  <si>
    <t xml:space="preserve">sito_web</t>
  </si>
  <si>
    <t xml:space="preserve">Regione</t>
  </si>
  <si>
    <t xml:space="preserve">Provincia</t>
  </si>
  <si>
    <t xml:space="preserve">Comune</t>
  </si>
  <si>
    <t xml:space="preserve">Email</t>
  </si>
  <si>
    <t xml:space="preserve">Telefono</t>
  </si>
  <si>
    <t xml:space="preserve">KRK Energy Service S.r.l.</t>
  </si>
  <si>
    <t xml:space="preserve">Via Prefabbricati snc, Martinengo (BG)</t>
  </si>
  <si>
    <t xml:space="preserve">0363 1591034 (verificato)</t>
  </si>
  <si>
    <t xml:space="preserve">info@krkenergyservice.com</t>
  </si>
  <si>
    <t xml:space="preserve">NORD ITALIA — Servizi: installazione + manutenzione (ord./straord.) + pulizia pannelli + termografia. Fatturato: n.d. (richiedere visura). Dipendenti: n.d. Contatto: ufficio tecnico-commerciale (nome non disponibile).</t>
  </si>
  <si>
    <t xml:space="preserve">Lombardia</t>
  </si>
  <si>
    <t xml:space="preserve">BG</t>
  </si>
  <si>
    <t xml:space="preserve">Martinengo</t>
  </si>
  <si>
    <t xml:space="preserve">0363 1591034</t>
  </si>
  <si>
    <t xml:space="preserve">SR Elettrotecnica</t>
  </si>
  <si>
    <t xml:space="preserve">Largo Sant'Angelo 9, Canegrate (MI)</t>
  </si>
  <si>
    <t xml:space="preserve">351 3729093 (verificato)</t>
  </si>
  <si>
    <t xml:space="preserve">info@srelettrotecnica.it</t>
  </si>
  <si>
    <t xml:space="preserve">Servizi: installazione + manutenzione (ord./straord.) + pulizia pannelli. Fatturato: n.d. Dipendenti: n.d. Contatto: n.d.</t>
  </si>
  <si>
    <t xml:space="preserve">MI</t>
  </si>
  <si>
    <t xml:space="preserve">Canegrate</t>
  </si>
  <si>
    <t xml:space="preserve">351 3729093</t>
  </si>
  <si>
    <t xml:space="preserve">Energy Team S.r.l.</t>
  </si>
  <si>
    <t xml:space="preserve">Via G. Mameli 24, Busto Arsizio (VA)</t>
  </si>
  <si>
    <t xml:space="preserve">0331 324959 (verificato)</t>
  </si>
  <si>
    <t xml:space="preserve">Servizi: installazione + manutenzione + pulizia pannelli + controllo inverter. Fatturato: n.d. Dipendenti: n.d. Contatto: n.d. NB: S.r.l. termotecnica di Busto Arsizio; verificare non sia omonima societa di monitoraggio.</t>
  </si>
  <si>
    <t xml:space="preserve">VA</t>
  </si>
  <si>
    <t xml:space="preserve">Busto Arsizio</t>
  </si>
  <si>
    <t xml:space="preserve">0331 324959</t>
  </si>
  <si>
    <t xml:space="preserve">MG Impianti S.r.l.</t>
  </si>
  <si>
    <t xml:space="preserve">Celeseo di Vigonovo (VE)</t>
  </si>
  <si>
    <t xml:space="preserve">049 9790651 (verificato)</t>
  </si>
  <si>
    <t xml:space="preserve">Servizi: installazione + O&amp;M (verifiche programmate + pronto intervento). Qualifica FER, norme CEI. Dal 1999, 1500+ progetti. Fatturato: n.d. Dipendenti: n.d. Contatto: ufficio commerciale.</t>
  </si>
  <si>
    <t xml:space="preserve">Veneto</t>
  </si>
  <si>
    <t xml:space="preserve">VE</t>
  </si>
  <si>
    <t xml:space="preserve">Vigonovo</t>
  </si>
  <si>
    <t xml:space="preserve">049 9790651</t>
  </si>
  <si>
    <t xml:space="preserve">Greentech Impianti S.r.l.</t>
  </si>
  <si>
    <t xml:space="preserve">Via Persicetana 20, Sala Bolognese (BO)</t>
  </si>
  <si>
    <t xml:space="preserve">051 6814567 (verificato)</t>
  </si>
  <si>
    <t xml:space="preserve">info@greentechimpianti.com</t>
  </si>
  <si>
    <t xml:space="preserve">Servizi: installazione FV industriale + O&amp;M (1-2 visite/anno + teleassistenza) + lavaggio moduli. REA BO-478747, cap.soc. 20.000 EUR. Fatturato: n.d. Dipendenti: n.d. Contatto: ufficio tecnico.</t>
  </si>
  <si>
    <t xml:space="preserve">Emilia-Romagna</t>
  </si>
  <si>
    <t xml:space="preserve">BO</t>
  </si>
  <si>
    <t xml:space="preserve">Sala Bolognese</t>
  </si>
  <si>
    <t xml:space="preserve">051 6814567</t>
  </si>
  <si>
    <t xml:space="preserve">Elettrica Rogeno S.r.l.</t>
  </si>
  <si>
    <t xml:space="preserve">Via Calvenzana Inferiore 17, Rogeno (LC)</t>
  </si>
  <si>
    <t xml:space="preserve">031 876147 (verificato)</t>
  </si>
  <si>
    <t xml:space="preserve">info@elettricarogeno.it</t>
  </si>
  <si>
    <t xml:space="preserve">NORD ITALIA — Servizi: installazione FV + accumulo + verifiche tecniche/manutenzione (pulizia da confermare; dal 1999). Fatturato: n.d. (richiedere visura). Dipendenti: n.d. Contatti: Mario Corti (AD), Cristian Malavasi (DG). Copre Lombardia/Piemonte(VC)/Veneto/Emilia.</t>
  </si>
  <si>
    <t xml:space="preserve">LC</t>
  </si>
  <si>
    <t xml:space="preserve">Rogeno</t>
  </si>
  <si>
    <t xml:space="preserve">031 876147</t>
  </si>
  <si>
    <t xml:space="preserve">GR Energy S.r.l.</t>
  </si>
  <si>
    <t xml:space="preserve">Via Nino di Palma 2, Campi Salentina (LE)</t>
  </si>
  <si>
    <t xml:space="preserve">info@gr-energy.it</t>
  </si>
  <si>
    <t xml:space="preserve">Servizi: installazione + O&amp;M anche su impianti di terzi + lavaggio moduli + cura del verde + telecontrollo. P.IVA 04339690754. Fatturato: n.d. Dipendenti: n.d. Contatto: ufficio O&amp;M.</t>
  </si>
  <si>
    <t xml:space="preserve">Puglia</t>
  </si>
  <si>
    <t xml:space="preserve">LE</t>
  </si>
  <si>
    <t xml:space="preserve">Campi Salentina</t>
  </si>
  <si>
    <t xml:space="preserve">Qesco S.r.l.</t>
  </si>
  <si>
    <t xml:space="preserve">Lecce (LE)</t>
  </si>
  <si>
    <t xml:space="preserve">Servizi: installazione + manutenzione 'tutto incluso' (pannelli, inverter, componenti). Copre LE/BR/TA. Fatturato: n.d. Dipendenti: n.d. Contatto: n.d.</t>
  </si>
  <si>
    <t xml:space="preserve">Lecce</t>
  </si>
  <si>
    <t xml:space="preserve">S.N. Impianti</t>
  </si>
  <si>
    <t xml:space="preserve">Galatina (LE)</t>
  </si>
  <si>
    <t xml:space="preserve">Servizi: installazione + manutenzione + pulizia, reperibilita H24. Ditta locale. Fatturato: n.d. Dipendenti: n.d. Contatto: titolare.</t>
  </si>
  <si>
    <t xml:space="preserve">Galatina</t>
  </si>
  <si>
    <t xml:space="preserve">Romeo Group - Fotovoltaica S.r.l.</t>
  </si>
  <si>
    <t xml:space="preserve">Z.I. C.da Sant'Irene, Corigliano-Rossano (CS)</t>
  </si>
  <si>
    <t xml:space="preserve">0983 565374 (verificato) (WhatsApp 347 9110013)</t>
  </si>
  <si>
    <t xml:space="preserve">segreteria@romeogroup.it</t>
  </si>
  <si>
    <t xml:space="preserve">Servizi: installazione/EPC + O&amp;M integrato + verifiche SPI. ESCo certificata (dich.), dal 1987. P.IVA 01659240780, REA CS-111767, cap.soc. 100.000 EUR. Fatturato: n.d. Dipendenti: n.d. Contatto: segreteria commerciale.</t>
  </si>
  <si>
    <t xml:space="preserve">Calabria</t>
  </si>
  <si>
    <t xml:space="preserve">CS</t>
  </si>
  <si>
    <t xml:space="preserve">Corigliano-Rossano</t>
  </si>
  <si>
    <t xml:space="preserve">0983 565374</t>
  </si>
  <si>
    <t xml:space="preserve">Enersolare</t>
  </si>
  <si>
    <t xml:space="preserve">Cosenza (CS)</t>
  </si>
  <si>
    <t xml:space="preserve">Servizi: installazione + manutenzione ord./straord. + pulizia pannelli. 5+ MW installati in zona (dich.). Fatturato: n.d. Dipendenti: n.d. Contatto: ufficio tecnico.</t>
  </si>
  <si>
    <t xml:space="preserve">Cosenza</t>
  </si>
  <si>
    <t xml:space="preserve">Punto Clima</t>
  </si>
  <si>
    <t xml:space="preserve">Grosseto (GR)</t>
  </si>
  <si>
    <t xml:space="preserve">0564 24716 / 338 3045378 (verificato)</t>
  </si>
  <si>
    <t xml:space="preserve">info@puntoclimagr.it</t>
  </si>
  <si>
    <t xml:space="preserve">Servizi: installazione/assistenza + manutenzione + pulizia pannelli. Copre GR e zona Amiata (Seggiano). Fatturato: n.d. Dipendenti: n.d. Contatto: ufficio assistenza.</t>
  </si>
  <si>
    <t xml:space="preserve">Toscana</t>
  </si>
  <si>
    <t xml:space="preserve">GR</t>
  </si>
  <si>
    <t xml:space="preserve">Grosseto</t>
  </si>
  <si>
    <t xml:space="preserve">0564 24716 / 338 3045378</t>
  </si>
  <si>
    <t xml:space="preserve">Grimaldi Energia</t>
  </si>
  <si>
    <t xml:space="preserve">Campania (sede da confermare)</t>
  </si>
  <si>
    <t xml:space="preserve">Servizi: installazione + manutenzione + pulizia + verifica cassetta prova rele (SPI). Copre SA/NA/CE/BN/AV. Fatturato: n.d. Dipendenti: n.d. Contatto: ufficio commerciale.</t>
  </si>
  <si>
    <t xml:space="preserve">Campania</t>
  </si>
  <si>
    <t xml:space="preserve">(da confermare)</t>
  </si>
  <si>
    <t xml:space="preserve">Gruppo Mossali</t>
  </si>
  <si>
    <t xml:space="preserve">Via G. di Vittorio 1, Pontoglio (BS)</t>
  </si>
  <si>
    <t xml:space="preserve">030 737097 (verificato)</t>
  </si>
  <si>
    <t xml:space="preserve">info@gruppomossali.com</t>
  </si>
  <si>
    <t xml:space="preserve">Servizi: installazione + manutenzione + pulizia moduli/inverter + termografia (anche coperture/amianto). Fatturato: n.d. (richiedere visura). Dipendenti: n.d. Contatto: uff. commerciale. Sede Pontoglio (BS); opera anche su Milano.</t>
  </si>
  <si>
    <t xml:space="preserve">BS</t>
  </si>
  <si>
    <t xml:space="preserve">Pontoglio</t>
  </si>
  <si>
    <t xml:space="preserve">030 737097</t>
  </si>
  <si>
    <t xml:space="preserve">Myenergy S.p.A.</t>
  </si>
  <si>
    <t xml:space="preserve">Via Angelo Moro 109, San Donato Milanese (MI)</t>
  </si>
  <si>
    <t xml:space="preserve">NAZIONALE — Servizi: progettazione + installazione + collaudo FV (EPC/ESCo) + manutenzione ordinaria/assistenza (pulizia da confermare). Fatturato: ~110 mln EUR (dichiarato sito). Dipendenti: ~95 (dich.). P.IVA 05528670960.</t>
  </si>
  <si>
    <t xml:space="preserve">San Donato Milanese</t>
  </si>
  <si>
    <t xml:space="preserve">Corna Impianti S.r.l.</t>
  </si>
  <si>
    <t xml:space="preserve">Via Mascagni 7/A, Stezzano (BG)</t>
  </si>
  <si>
    <t xml:space="preserve">035 4540660 (verificato)</t>
  </si>
  <si>
    <t xml:space="preserve">Servizi: progettazione/costruzione/installazione FV + impianti elettrici + manutenzione + pulizia pannelli + taratura SPI + termografia (40 anni). Fatturato: n.d. (richiedere visura). Dipendenti: n.d. P.IVA 02659580167. Copre BG/MI/BO.</t>
  </si>
  <si>
    <t xml:space="preserve">Stezzano</t>
  </si>
  <si>
    <t xml:space="preserve">035 4540660</t>
  </si>
  <si>
    <t xml:space="preserve">Elettromeccanica Merlotti S.r.l.</t>
  </si>
  <si>
    <t xml:space="preserve">Via S. Geltrude 49, Busto Garolfo (MI)</t>
  </si>
  <si>
    <t xml:space="preserve">0331 566867 (verificato)</t>
  </si>
  <si>
    <t xml:space="preserve">Servizi: installazione + manutenzione/riparazione impianti elettrici, fotovoltaici, condizionamento, domotica, videosorveglianza (pulizia da confermare; 60 anni). Fatturato: 1.581.683 EUR (2023). Dipendenti: 20-49. P.IVA 08015670154.</t>
  </si>
  <si>
    <t xml:space="preserve">Busto Garolfo</t>
  </si>
  <si>
    <t xml:space="preserve">0331 566867</t>
  </si>
  <si>
    <t xml:space="preserve">Veneco</t>
  </si>
  <si>
    <t xml:space="preserve">Padova (PD)</t>
  </si>
  <si>
    <t xml:space="preserve">049 2276410 (verificato)</t>
  </si>
  <si>
    <t xml:space="preserve">info@veneco.it</t>
  </si>
  <si>
    <t xml:space="preserve">Servizi: installazione + manutenzione/assistenza (pulizia da confermare). Fatturato: n.d. (richiedere visura). Dipendenti: n.d. Contatto: n.d. Copre PD/VE/VI/TV; oltre 10 anni.</t>
  </si>
  <si>
    <t xml:space="preserve">PD</t>
  </si>
  <si>
    <t xml:space="preserve">Padova</t>
  </si>
  <si>
    <t xml:space="preserve">049 2276410</t>
  </si>
  <si>
    <t xml:space="preserve">Munari Group S.r.l.</t>
  </si>
  <si>
    <t xml:space="preserve">Via Martiri della Liberazione 20, Carmignano di Brenta (PD)</t>
  </si>
  <si>
    <t xml:space="preserve">info@munaririnnovabili.it</t>
  </si>
  <si>
    <t xml:space="preserve">Munari Group S.r.l. - ESCo/EGE - P.IVA 04570800286 - progettazione e installazione FV (industriale, commerciale, residenziale, agrivoltaico), manutenzione, revamping, accumulo, colonnine EV. Opera PD/VI. Contatti via form/email.</t>
  </si>
  <si>
    <t xml:space="preserve">Carmignano di Brenta</t>
  </si>
  <si>
    <t xml:space="preserve">ZR di Zannin Renato S.r.l.</t>
  </si>
  <si>
    <t xml:space="preserve">Via A. Volta 2, Masera' di Padova (PD)</t>
  </si>
  <si>
    <t xml:space="preserve">049 9125525</t>
  </si>
  <si>
    <t xml:space="preserve">ZR di Zannin Renato S.r.l. - titolare Renato Zannin - P.IVA 05101470283 - fatturato 0,6-1,5 mln EUR (2024) - FV, impianti elettrici, domotica, pompe di calore, illuminazione LED. Opera PD/VE/TV/VI.</t>
  </si>
  <si>
    <t xml:space="preserve">Masera' di Padova</t>
  </si>
  <si>
    <t xml:space="preserve">Fineagroup</t>
  </si>
  <si>
    <t xml:space="preserve">Via Nuova 2, San Giovanni in Persiceto (BO)</t>
  </si>
  <si>
    <t xml:space="preserve">Finea Group Srl - dal 2008 - P.IVA 01749710388 - FV civili/industriali, accumulo, manutenzione programmata, revamping, audit energetici, comunita energetiche (CER). Copre BO/MO/FE. Contatti via form.</t>
  </si>
  <si>
    <t xml:space="preserve">San Giovanni in Persiceto</t>
  </si>
  <si>
    <t xml:space="preserve">Chiarini e Ferrari IT S.r.l.</t>
  </si>
  <si>
    <t xml:space="preserve">Via I Maggio 8, Anzola dell'Emilia (BO)</t>
  </si>
  <si>
    <t xml:space="preserve">051 734270</t>
  </si>
  <si>
    <t xml:space="preserve">info@chiarinieferrari.it</t>
  </si>
  <si>
    <t xml:space="preserve">Chiarini e Ferrari Impianti Tecnologici S.r.l. - dal 1970, certificata CSQ - P.IVA 01757971203 - FV, impianti elettrici, manutenzione, revamping, CERTIFICAZIONI SPI/SPG, CEI 0-16/0-21, Del. 786/2016. Commerciale ute@chiarinieferrari.it; PEC chiarinieferrariit@pec.it. Copre BO/MO/PR.</t>
  </si>
  <si>
    <t xml:space="preserve">Anzola dell'Emilia</t>
  </si>
  <si>
    <t xml:space="preserve">Azzoni Impianti (AM Elettronica)</t>
  </si>
  <si>
    <t xml:space="preserve">Via G. Saragat 25, Crescentino (VC)</t>
  </si>
  <si>
    <t xml:space="preserve">333 4864707</t>
  </si>
  <si>
    <t xml:space="preserve">AM Elettronica di Azzoni Maurizio - impresa individuale - ATECO 43.21.01 - FV, impianti elettrici civili/industriali, domotica, illuminazione LED. Ref. Maurizio Azzoni (cell).</t>
  </si>
  <si>
    <t xml:space="preserve">Piemonte</t>
  </si>
  <si>
    <t xml:space="preserve">VC</t>
  </si>
  <si>
    <t xml:space="preserve">Crescentino</t>
  </si>
  <si>
    <t xml:space="preserve">EcoHouse S.r.l.s.</t>
  </si>
  <si>
    <t xml:space="preserve">Via Per Bianze, Tronzano Vercellese (VC)</t>
  </si>
  <si>
    <t xml:space="preserve">334 7497002</t>
  </si>
  <si>
    <t xml:space="preserve">SOSTITUISCE 'Energie Italiane' (risultata portale SEO con sede in Liguria, non installatore locale VC). EcoHouse S.r.l.s. - sede Tronzano Vercellese (VC) - impianti FV in Piemonte, monitoraggio e manutenzione, preventivi gratuiti.</t>
  </si>
  <si>
    <t xml:space="preserve">Tronzano Vercellese</t>
  </si>
  <si>
    <t xml:space="preserve">Testa Marco &amp; C. S.r.l.</t>
  </si>
  <si>
    <t xml:space="preserve">Via San Sebastiano 17, Saluggia (VC)</t>
  </si>
  <si>
    <t xml:space="preserve">0161 486912</t>
  </si>
  <si>
    <t xml:space="preserve">SOSTITUISCE 'Valoresolare' (portale lead-gen, non installatore locale). Testa Marco &amp; C. S.r.l. - dal 1972 - P.IVA 01499880027 - realizzazione e manutenzione impianti elettrici e FV civili/industriali, colonnine ricarica EV, antifurto FV. Attiva in tutto il Nord Italia (Fax 0161 480071).</t>
  </si>
  <si>
    <t xml:space="preserve">Saluggia</t>
  </si>
  <si>
    <t xml:space="preserve">Energy Impianti (Salutari)</t>
  </si>
  <si>
    <t xml:space="preserve">Via della Stazione 9, Gavorrano (GR)</t>
  </si>
  <si>
    <t xml:space="preserve">379 2946488</t>
  </si>
  <si>
    <t xml:space="preserve">Energy Impianti di Salutari Fabrizio - esperienza trentennale - progettazione, installazione e MANUTENZIONE FV, impianti elettrici civili/industriali, automazioni, allarmi, videosorveglianza. Copre Grosseto e Maremma toscana.</t>
  </si>
  <si>
    <t xml:space="preserve">Gavorrano</t>
  </si>
  <si>
    <t xml:space="preserve">New Service Group</t>
  </si>
  <si>
    <t xml:space="preserve">Via Aurelia Nord 32, Grosseto (GR)</t>
  </si>
  <si>
    <t xml:space="preserve">0564 417127</t>
  </si>
  <si>
    <t xml:space="preserve">N.S.G. (New Service Group) S.a.s. di Ceccotti Fabio e C. - dal 1991 - FV chiavi in mano + CONTRATTO di manutenzione preventiva FV, impianti elettrici, videosorveglianza, antincendio, fibra. Altri num. 0564 422766 / 333 2355046.</t>
  </si>
  <si>
    <t xml:space="preserve">FBC Italia</t>
  </si>
  <si>
    <t xml:space="preserve">Gruppo FBC - consulenza utenze/efficienza energetica + progettazione, installazione, monitoraggio e manutenzione FV, relamping/illuminazione. Brand Life/Utilicon. Contatti via form.</t>
  </si>
  <si>
    <t xml:space="preserve">Emme Esse Solar (Garoli &amp; Pagano S.n.c.)</t>
  </si>
  <si>
    <t xml:space="preserve">Cernusco sul Naviglio (MI) - area Martesana</t>
  </si>
  <si>
    <t xml:space="preserve">02 92108704 (verificato)</t>
  </si>
  <si>
    <t xml:space="preserve">Servizi: installazione + manutenzione + pulizia pannelli + monitoraggio + CER. Fatturato: n.d. (richiedere visura). Dipendenti: n.d. Contatto: soci Garoli/Pagano. Copre Cernusco s/N, Pioltello, Segrate, Vimodrone, Carugate, Agrate Brianza, Vimercate, Gorgonzola, Melzo, Pozzuolo Martesana.</t>
  </si>
  <si>
    <t xml:space="preserve">Cernusco sul Naviglio</t>
  </si>
  <si>
    <t xml:space="preserve">02 92108704</t>
  </si>
  <si>
    <t xml:space="preserve">Dentro Il Sole S.r.l.</t>
  </si>
  <si>
    <t xml:space="preserve">Via Giuseppe Parini 96, Gorgonzola (MI)</t>
  </si>
  <si>
    <t xml:space="preserve">02 94435188 (verificato)</t>
  </si>
  <si>
    <t xml:space="preserve">Servizi: installazione FV + manutenzione/riparazione + coperture/amianto (pulizia da confermare). Fatturato: 3-6 mln EUR (2023). Dipendenti: n.d. Sito: non presente. P.IVA 06165480960.</t>
  </si>
  <si>
    <t xml:space="preserve">n.d. (da reperire)</t>
  </si>
  <si>
    <t xml:space="preserve">Gorgonzola</t>
  </si>
  <si>
    <t xml:space="preserve">02 94435188</t>
  </si>
  <si>
    <t xml:space="preserve">D.M.L. Idee (Impianti Fotovoltaici)</t>
  </si>
  <si>
    <t xml:space="preserve">Via Teruzzi 46, Brugherio (MB)</t>
  </si>
  <si>
    <t xml:space="preserve">039 2242708 (verificato)</t>
  </si>
  <si>
    <t xml:space="preserve">info@dmlidee.com</t>
  </si>
  <si>
    <t xml:space="preserve">Servizi: installazione FV + accumulo + sostituzione inverter + assistenza (pulizia da confermare). Fatturato: n.d. (richiedere visura). Dipendenti: n.d. Copre Brugherio/Monza/Milano. (sostituisce 'Euroimpianti', omonimi non verificabili).</t>
  </si>
  <si>
    <t xml:space="preserve">MB</t>
  </si>
  <si>
    <t xml:space="preserve">Brugherio</t>
  </si>
  <si>
    <t xml:space="preserve">039 2242708</t>
  </si>
  <si>
    <t xml:space="preserve">Zd Mechatronics S.r.l.</t>
  </si>
  <si>
    <t xml:space="preserve">Via Ticino 30, Gorgonzola (MI)</t>
  </si>
  <si>
    <t xml:space="preserve">02 95746283 (verificato)</t>
  </si>
  <si>
    <t xml:space="preserve">Servizi: elettronica/automazioni; per il FV accumulo + installazione/manutenzione + DiCo/DiRi (FV NON core; pulizia non dichiarata). Fatturato: n.d. (richiedere visura). Dipendenti: 6-10. P.IVA 05301370960.</t>
  </si>
  <si>
    <t xml:space="preserve">02 95746283</t>
  </si>
  <si>
    <t xml:space="preserve">Petalo S.r.l.</t>
  </si>
  <si>
    <t xml:space="preserve">Via Gorizia 38, Osnago (LC)</t>
  </si>
  <si>
    <t xml:space="preserve">039 2262423 (verificato)</t>
  </si>
  <si>
    <t xml:space="preserve">info@petalo.net</t>
  </si>
  <si>
    <t xml:space="preserve">Servizi: installazione FV + solare termico + monitoraggio + manutenzione + lavaggio pannelli + coperture/amianto (studio di ingegneria, dal 2009). Fatturato: n.d. (richiedere visura). Dipendenti: n.d. Opera su LC/MI/MB/BG/CO/Busto Arsizio/Pavia (incl. Magentino).</t>
  </si>
  <si>
    <t xml:space="preserve">Osnago</t>
  </si>
  <si>
    <t xml:space="preserve">039 2262423</t>
  </si>
  <si>
    <t xml:space="preserve">Intech Group S.r.l.</t>
  </si>
  <si>
    <t xml:space="preserve">Via Guido Reni 4, Busto Garolfo (MI)</t>
  </si>
  <si>
    <t xml:space="preserve">0331 561021 (verificato)</t>
  </si>
  <si>
    <t xml:space="preserve">a.bottini@intechgroup.eu</t>
  </si>
  <si>
    <t xml:space="preserve">Servizi: installazione + manutenzione impianti elettrici/industriali + fotovoltaico + riscaldamento + videosorveglianza (pulizia da confermare; oltre 10 anni). Fatturato: 1,5-3 mln EUR (2020). Dipendenti: n.d. Contatto: Bottini. P.IVA 04987300961.</t>
  </si>
  <si>
    <t xml:space="preserve">0331 561021</t>
  </si>
  <si>
    <t xml:space="preserve">EMV Group</t>
  </si>
  <si>
    <t xml:space="preserve">Via Bergamo 25, Lainate (MI)</t>
  </si>
  <si>
    <t xml:space="preserve">02 93571759 (verificato)</t>
  </si>
  <si>
    <t xml:space="preserve">Servizi: impianti tecnologici - fotovoltaico (progettazione/posa/collaudo/riparazione), elettrico, termoidraulico, antincendio, cogenerazione (pulizia da confermare). Fatturato: n.d. (richiedere visura). Dipendenti: n.d. P.IVA 12193520157.</t>
  </si>
  <si>
    <t xml:space="preserve">Lainate</t>
  </si>
  <si>
    <t xml:space="preserve">02 93571759</t>
  </si>
  <si>
    <t xml:space="preserve">Tecnoelettrica Bragoni</t>
  </si>
  <si>
    <t xml:space="preserve">Corbetta (MI)</t>
  </si>
  <si>
    <t xml:space="preserve">02 9243936 (verificato)</t>
  </si>
  <si>
    <t xml:space="preserve">Servizi: installazione FV + sistemi storage + gestione pratiche GSE e Portale Produttori Enel + test interfacce CEI 0-21 (pulizia da confermare). Fatturato: n.d. (richiedere visura). Dipendenti: n.d. Copre Corbetta e Magentino. (sostituisce 'Davom').</t>
  </si>
  <si>
    <t xml:space="preserve">Corbetta</t>
  </si>
  <si>
    <t xml:space="preserve">02 9243936</t>
  </si>
  <si>
    <t xml:space="preserve">OEMpv S.r.l.</t>
  </si>
  <si>
    <t xml:space="preserve">Viale Combattenti Alleati d'Europa 9/G, Rovigo (RO)</t>
  </si>
  <si>
    <t xml:space="preserve">0425 471055</t>
  </si>
  <si>
    <t xml:space="preserve">info@oempv.it</t>
  </si>
  <si>
    <t xml:space="preserve">NAZIONALE — OEMpv S.r.l., dal 2010, O&amp;M grandi impianti FV utility-scale su 7 sedi nazionali: gestione/conduzione/manutenzione + Asset Management + Revamping/Repowering + lavaggio + sfalcio verde + telecontrollo H24/365. P.IVA 01411390295; PEC oempv@legalmail.it; fondo IMPAX dal 2022.</t>
  </si>
  <si>
    <t xml:space="preserve">RO</t>
  </si>
  <si>
    <t xml:space="preserve">Rovigo</t>
  </si>
  <si>
    <t xml:space="preserve">Solteck O&amp;M</t>
  </si>
  <si>
    <t xml:space="preserve">Roma (RM)</t>
  </si>
  <si>
    <t xml:space="preserve">info@solteck.it</t>
  </si>
  <si>
    <t xml:space="preserve">NAZIONALE — Sol.teck (Solteck O&amp;M), manutenzione ordinaria/straordinaria FV con presenza capillare nazionale: pulizia moduli, check inverter/quadri/stringhe, monitoraggio, interventi tempestivi. P.IVA 08257531007 (CCIAA Roma). Contatti via form.</t>
  </si>
  <si>
    <t xml:space="preserve">Lazio</t>
  </si>
  <si>
    <t xml:space="preserve">RM</t>
  </si>
  <si>
    <t xml:space="preserve">Roma</t>
  </si>
  <si>
    <t xml:space="preserve">i-Pergola S.r.l.</t>
  </si>
  <si>
    <t xml:space="preserve">Via Flero 28, Brescia (BS)</t>
  </si>
  <si>
    <t xml:space="preserve">NAZIONALE — i-Pergola S.r.l. (PMI innovativa/Societa Benefit), O&amp;M utility-scale: gestione amministrativa (Dogane/GSE), manutenzione ord./straord., lavaggio (manuale/drone/robot), verifica quinquennale terra+SPI, taratura contatore fiscale, prova rele SPI, pronto intervento; anche EPC e produzione PV. Sedi BS/VR/PC/RA. P.IVA 04363870983. Contatti via form.</t>
  </si>
  <si>
    <t xml:space="preserve">Brescia</t>
  </si>
  <si>
    <t xml:space="preserve">Servicetec</t>
  </si>
  <si>
    <t xml:space="preserve">Z.I.S. Scolastica, Via E. Flaiano, Corropoli (TE)</t>
  </si>
  <si>
    <t xml:space="preserve">0861 839230</t>
  </si>
  <si>
    <t xml:space="preserve">NAZIONALE — Servicetec, installazione + assistenza + manutenzione FV: adeguamenti ARERA (243/2013, 421/2014, 595/2014), VERIFICHE PERIODICHE SPI CEI 0-16/0-21, verifiche lato AC/DC e test moduli STC, monitoraggio. Sede Corropoli (TE). Contatti via form.</t>
  </si>
  <si>
    <t xml:space="preserve">Abruzzo</t>
  </si>
  <si>
    <t xml:space="preserve">TE</t>
  </si>
  <si>
    <t xml:space="preserve">Corropoli</t>
  </si>
  <si>
    <t xml:space="preserve">Assistenze Fotovoltaico S.r.l.</t>
  </si>
  <si>
    <t xml:space="preserve">Verona (VR)</t>
  </si>
  <si>
    <t xml:space="preserve">NAZIONALE — Assistenze Fotovoltaico S.r.l., dal 2012, oltre 2000 impianti: realizzazione, manutenzione e gestione FV su tutto il territorio nazionale (da 10 kW a impianti industriali 1-10 MW), monitoraggio remoto, pulizia periodica, chiavi in mano. Sede Verona. Contatti via form.</t>
  </si>
  <si>
    <t xml:space="preserve">VR</t>
  </si>
  <si>
    <t xml:space="preserve">Verona</t>
  </si>
  <si>
    <t xml:space="preserve">Soland S.r.l.</t>
  </si>
  <si>
    <t xml:space="preserve">S.S. 11 Km 46,500, Borgo d'Ale (VC)</t>
  </si>
  <si>
    <t xml:space="preserve">0161 49537</t>
  </si>
  <si>
    <t xml:space="preserve">info@soland.it</t>
  </si>
  <si>
    <t xml:space="preserve">NORD ITALIA — Soland S.r.l., Service O&amp;M (gestisce 350+ impianti, oltre 40 MW Nord Italia): manutenzione ordinaria programmata + telegestione remota (Centrale Analisi Dati) + lavaggio robotizzato + supporto amministrativo (GSE/DSO/Dogane/ARERA/Trader) + manutenzione straordinaria + termografia. Anche FV/revamping/e-mobility. P.IVA 02693120020 (anche 0161 49649).</t>
  </si>
  <si>
    <t xml:space="preserve">Borgo d'Ale</t>
  </si>
  <si>
    <t xml:space="preserve">Omnia S.r.l.</t>
  </si>
  <si>
    <t xml:space="preserve">Nogara (VR)</t>
  </si>
  <si>
    <t xml:space="preserve">800 910464</t>
  </si>
  <si>
    <t xml:space="preserve">info@omnia.pro</t>
  </si>
  <si>
    <t xml:space="preserve">NORD ITALIA — Omnia S.r.l. (sedi Nogara VR + Monsano AN), manutenzione FV (ordinaria/predittiva/preventiva/migliorativa), contratto O&amp;M, monitoraggio, lavaggio + verde, straordinaria con ADEGUAMENTI delibere 243/13, 421/14, 613/16, 595/14 e 786/16 (verifiche periodiche SPI), revamping, due diligence, smaltimento, verifica linee vita. Opera VE/MN/BS/MI/BO. P.IVA 04117260234 (num. verde AN 800 161803).</t>
  </si>
  <si>
    <t xml:space="preserve">Nogara</t>
  </si>
  <si>
    <t xml:space="preserve">Xiber Energy Solutions S.r.l.</t>
  </si>
  <si>
    <t xml:space="preserve">Via Padana Superiore 19, Vimodrone (MI)</t>
  </si>
  <si>
    <t xml:space="preserve">info@xiber-es.com</t>
  </si>
  <si>
    <t xml:space="preserve">NORD ITALIA — Xiber Energy Solutions S.r.l. (sedi Vimodrone MI + Formigine MO), programma manutenzione ord./straord.: monitoraggio, termografia drone, elettroluminescenza, lavaggio acqua osmotizzata, Solar Coach (asset mgmt), pratiche connessione/post-installazione + consulenza energetica (diagnosi, energy manager) + FV industriale/accumulo/revamping. P.IVA 12724770966. Contatti via form.</t>
  </si>
  <si>
    <t xml:space="preserve">Vimodrone</t>
  </si>
  <si>
    <t xml:space="preserve">L. Impianti Elettrici S.r.l.</t>
  </si>
  <si>
    <t xml:space="preserve">Piazzale Luigi Cadorna 9, Milano (MI)</t>
  </si>
  <si>
    <t xml:space="preserve">PISCIOTTI — L. Impianti Elettrici S.r.l., impianti elettrici; sede Milano. P.IVA 08980000965; REA MI-2060390; PEC l.impiantielettrici@lamiapec.it; fatturato 1.316.426 EUR (2024); 8 dipendenti (2026).</t>
  </si>
  <si>
    <t xml:space="preserve">Milano</t>
  </si>
  <si>
    <t xml:space="preserve">l.impiantielettrici@lamiapec.it</t>
  </si>
  <si>
    <t xml:space="preserve">Termoelettrica S.r.l.</t>
  </si>
  <si>
    <t xml:space="preserve">Via Roma 102, Castel d'Azzano (VR)</t>
  </si>
  <si>
    <t xml:space="preserve">340 9616705</t>
  </si>
  <si>
    <t xml:space="preserve">PISCIOTTI — Termoelettrica S.r.l., sistemi/servizio fotovoltaico (Castel d'Azzano VR). Valutazione Google 5,0 (6 recensioni).</t>
  </si>
  <si>
    <t xml:space="preserve">Castel d'Azzano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</si>
</sst>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6E43"/>
        <bgColor rgb="FF008080"/>
      </patternFill>
    </fill>
    <fill>
      <patternFill patternType="solid">
        <fgColor rgb="FFEAF7EE"/>
        <bgColor rgb="FFE7F0FF"/>
      </patternFill>
    </fill>
    <fill>
      <patternFill patternType="solid">
        <fgColor rgb="FFFFF7E0"/>
        <bgColor rgb="FFFFFFFF"/>
      </patternFill>
    </fill>
    <fill>
      <patternFill patternType="solid">
        <fgColor rgb="FFE7F0FF"/>
        <bgColor rgb="FFEAF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0B0B0"/>
      <rgbColor rgb="FF808080"/>
      <rgbColor rgb="FF9999FF"/>
      <rgbColor rgb="FF993366"/>
      <rgbColor rgb="FFFFF7E0"/>
      <rgbColor rgb="FFEAF7EE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5" min="4" style="0" width="9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70"/>
    <col collapsed="false" customWidth="true" hidden="false" outlineLevel="0" max="9" min="9" style="0" width="30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30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5.05" hidden="false" customHeight="false" outlineLevel="0" collapsed="false">
      <c r="A2" s="2" t="n">
        <v>1</v>
      </c>
      <c r="B2" s="2" t="s">
        <v>14</v>
      </c>
      <c r="C2" s="2" t="s">
        <v>15</v>
      </c>
      <c r="D2" s="3" t="n">
        <v>45.575</v>
      </c>
      <c r="E2" s="3" t="n">
        <v>9.768</v>
      </c>
      <c r="F2" s="2" t="s">
        <v>16</v>
      </c>
      <c r="G2" s="2" t="s">
        <v>17</v>
      </c>
      <c r="H2" s="2" t="s">
        <v>18</v>
      </c>
      <c r="I2" s="4" t="str">
        <f aca="false">HYPERLINK("https://www.krkenergyservice.com","https://www.krkenergyservice.com")</f>
        <v>https://www.krkenergyservice.com</v>
      </c>
      <c r="J2" s="2" t="s">
        <v>19</v>
      </c>
      <c r="K2" s="5" t="s">
        <v>20</v>
      </c>
      <c r="L2" s="2" t="s">
        <v>21</v>
      </c>
      <c r="M2" s="6" t="s">
        <v>17</v>
      </c>
      <c r="N2" s="7" t="s">
        <v>22</v>
      </c>
    </row>
    <row r="3" customFormat="false" ht="23.85" hidden="false" customHeight="false" outlineLevel="0" collapsed="false">
      <c r="A3" s="2" t="n">
        <v>2</v>
      </c>
      <c r="B3" s="2" t="s">
        <v>23</v>
      </c>
      <c r="C3" s="2" t="s">
        <v>24</v>
      </c>
      <c r="D3" s="3" t="n">
        <v>45.575</v>
      </c>
      <c r="E3" s="3" t="n">
        <v>8.925</v>
      </c>
      <c r="F3" s="2" t="s">
        <v>25</v>
      </c>
      <c r="G3" s="2" t="s">
        <v>26</v>
      </c>
      <c r="H3" s="2" t="s">
        <v>27</v>
      </c>
      <c r="I3" s="4" t="str">
        <f aca="false">HYPERLINK("https://www.srelettrotecnica.it","https://www.srelettrotecnica.it")</f>
        <v>https://www.srelettrotecnica.it</v>
      </c>
      <c r="J3" s="2" t="s">
        <v>19</v>
      </c>
      <c r="K3" s="5" t="s">
        <v>28</v>
      </c>
      <c r="L3" s="2" t="s">
        <v>29</v>
      </c>
      <c r="M3" s="6" t="s">
        <v>26</v>
      </c>
      <c r="N3" s="7" t="s">
        <v>30</v>
      </c>
    </row>
    <row r="4" customFormat="false" ht="35.05" hidden="false" customHeight="false" outlineLevel="0" collapsed="false">
      <c r="A4" s="2" t="n">
        <v>3</v>
      </c>
      <c r="B4" s="2" t="s">
        <v>31</v>
      </c>
      <c r="C4" s="2" t="s">
        <v>32</v>
      </c>
      <c r="D4" s="3" t="n">
        <v>45.611</v>
      </c>
      <c r="E4" s="3" t="n">
        <v>8.849</v>
      </c>
      <c r="F4" s="2" t="s">
        <v>33</v>
      </c>
      <c r="G4" s="2"/>
      <c r="H4" s="2" t="s">
        <v>34</v>
      </c>
      <c r="I4" s="4" t="str">
        <f aca="false">HYPERLINK("https://www.energyteamimpianti.com","https://www.energyteamimpianti.com")</f>
        <v>https://www.energyteamimpianti.com</v>
      </c>
      <c r="J4" s="2" t="s">
        <v>19</v>
      </c>
      <c r="K4" s="5" t="s">
        <v>35</v>
      </c>
      <c r="L4" s="2" t="s">
        <v>36</v>
      </c>
      <c r="M4" s="6"/>
      <c r="N4" s="7" t="s">
        <v>37</v>
      </c>
    </row>
    <row r="5" customFormat="false" ht="35.05" hidden="false" customHeight="false" outlineLevel="0" collapsed="false">
      <c r="A5" s="2" t="n">
        <v>4</v>
      </c>
      <c r="B5" s="2" t="s">
        <v>38</v>
      </c>
      <c r="C5" s="2" t="s">
        <v>39</v>
      </c>
      <c r="D5" s="3" t="n">
        <v>45.388</v>
      </c>
      <c r="E5" s="3" t="n">
        <v>12.012</v>
      </c>
      <c r="F5" s="2" t="s">
        <v>40</v>
      </c>
      <c r="G5" s="2"/>
      <c r="H5" s="2" t="s">
        <v>41</v>
      </c>
      <c r="I5" s="4" t="str">
        <f aca="false">HYPERLINK("https://mgimpianti.net","https://mgimpianti.net")</f>
        <v>https://mgimpianti.net</v>
      </c>
      <c r="J5" s="2" t="s">
        <v>42</v>
      </c>
      <c r="K5" s="5" t="s">
        <v>43</v>
      </c>
      <c r="L5" s="2" t="s">
        <v>44</v>
      </c>
      <c r="M5" s="6"/>
      <c r="N5" s="7" t="s">
        <v>45</v>
      </c>
    </row>
    <row r="6" customFormat="false" ht="23.85" hidden="false" customHeight="false" outlineLevel="0" collapsed="false">
      <c r="A6" s="2" t="n">
        <v>5</v>
      </c>
      <c r="B6" s="2" t="s">
        <v>46</v>
      </c>
      <c r="C6" s="2" t="s">
        <v>47</v>
      </c>
      <c r="D6" s="3" t="n">
        <v>44.58</v>
      </c>
      <c r="E6" s="3" t="n">
        <v>11.233</v>
      </c>
      <c r="F6" s="2" t="s">
        <v>48</v>
      </c>
      <c r="G6" s="2" t="s">
        <v>49</v>
      </c>
      <c r="H6" s="2" t="s">
        <v>50</v>
      </c>
      <c r="I6" s="4" t="str">
        <f aca="false">HYPERLINK("https://www.greentechimpianti.com","https://www.greentechimpianti.com")</f>
        <v>https://www.greentechimpianti.com</v>
      </c>
      <c r="J6" s="2" t="s">
        <v>51</v>
      </c>
      <c r="K6" s="5" t="s">
        <v>52</v>
      </c>
      <c r="L6" s="2" t="s">
        <v>53</v>
      </c>
      <c r="M6" s="6" t="s">
        <v>49</v>
      </c>
      <c r="N6" s="7" t="s">
        <v>54</v>
      </c>
    </row>
    <row r="7" customFormat="false" ht="35.05" hidden="false" customHeight="false" outlineLevel="0" collapsed="false">
      <c r="A7" s="2" t="n">
        <v>6</v>
      </c>
      <c r="B7" s="2" t="s">
        <v>55</v>
      </c>
      <c r="C7" s="2" t="s">
        <v>56</v>
      </c>
      <c r="D7" s="3" t="n">
        <v>45.787</v>
      </c>
      <c r="E7" s="3" t="n">
        <v>9.27</v>
      </c>
      <c r="F7" s="2" t="s">
        <v>57</v>
      </c>
      <c r="G7" s="2" t="s">
        <v>58</v>
      </c>
      <c r="H7" s="2" t="s">
        <v>59</v>
      </c>
      <c r="I7" s="4" t="str">
        <f aca="false">HYPERLINK("https://www.elettricarogeno.it","https://www.elettricarogeno.it")</f>
        <v>https://www.elettricarogeno.it</v>
      </c>
      <c r="J7" s="2" t="s">
        <v>19</v>
      </c>
      <c r="K7" s="5" t="s">
        <v>60</v>
      </c>
      <c r="L7" s="2" t="s">
        <v>61</v>
      </c>
      <c r="M7" s="6" t="s">
        <v>58</v>
      </c>
      <c r="N7" s="7" t="s">
        <v>62</v>
      </c>
    </row>
    <row r="8" customFormat="false" ht="23.85" hidden="false" customHeight="false" outlineLevel="0" collapsed="false">
      <c r="A8" s="2" t="n">
        <v>7</v>
      </c>
      <c r="B8" s="2" t="s">
        <v>63</v>
      </c>
      <c r="C8" s="2" t="s">
        <v>64</v>
      </c>
      <c r="D8" s="3" t="n">
        <v>40.387</v>
      </c>
      <c r="E8" s="3" t="n">
        <v>18.012</v>
      </c>
      <c r="F8" s="2"/>
      <c r="G8" s="2" t="s">
        <v>65</v>
      </c>
      <c r="H8" s="2" t="s">
        <v>66</v>
      </c>
      <c r="I8" s="4" t="str">
        <f aca="false">HYPERLINK("https://www.gr-energy.it","https://www.gr-energy.it")</f>
        <v>https://www.gr-energy.it</v>
      </c>
      <c r="J8" s="2" t="s">
        <v>67</v>
      </c>
      <c r="K8" s="5" t="s">
        <v>68</v>
      </c>
      <c r="L8" s="2" t="s">
        <v>69</v>
      </c>
      <c r="M8" s="6" t="s">
        <v>65</v>
      </c>
      <c r="N8" s="7"/>
    </row>
    <row r="9" customFormat="false" ht="23.85" hidden="false" customHeight="false" outlineLevel="0" collapsed="false">
      <c r="A9" s="2" t="n">
        <v>8</v>
      </c>
      <c r="B9" s="2" t="s">
        <v>70</v>
      </c>
      <c r="C9" s="2" t="s">
        <v>71</v>
      </c>
      <c r="D9" s="3" t="n">
        <v>40.352</v>
      </c>
      <c r="E9" s="3" t="n">
        <v>18.17</v>
      </c>
      <c r="F9" s="2"/>
      <c r="G9" s="2"/>
      <c r="H9" s="2" t="s">
        <v>72</v>
      </c>
      <c r="I9" s="4" t="str">
        <f aca="false">HYPERLINK("https://www.qesco.it","https://www.qesco.it")</f>
        <v>https://www.qesco.it</v>
      </c>
      <c r="J9" s="2" t="s">
        <v>67</v>
      </c>
      <c r="K9" s="5" t="s">
        <v>68</v>
      </c>
      <c r="L9" s="2" t="s">
        <v>73</v>
      </c>
      <c r="M9" s="6"/>
      <c r="N9" s="7"/>
    </row>
    <row r="10" customFormat="false" ht="23.85" hidden="false" customHeight="false" outlineLevel="0" collapsed="false">
      <c r="A10" s="2" t="n">
        <v>9</v>
      </c>
      <c r="B10" s="2" t="s">
        <v>74</v>
      </c>
      <c r="C10" s="2" t="s">
        <v>75</v>
      </c>
      <c r="D10" s="3" t="n">
        <v>40.173</v>
      </c>
      <c r="E10" s="3" t="n">
        <v>18.17</v>
      </c>
      <c r="F10" s="2"/>
      <c r="G10" s="2"/>
      <c r="H10" s="2" t="s">
        <v>76</v>
      </c>
      <c r="I10" s="4" t="str">
        <f aca="false">HYPERLINK("https://www.snimpianti.it","https://www.snimpianti.it")</f>
        <v>https://www.snimpianti.it</v>
      </c>
      <c r="J10" s="2" t="s">
        <v>67</v>
      </c>
      <c r="K10" s="5" t="s">
        <v>68</v>
      </c>
      <c r="L10" s="2" t="s">
        <v>77</v>
      </c>
      <c r="M10" s="6"/>
      <c r="N10" s="7"/>
    </row>
    <row r="11" customFormat="false" ht="35.05" hidden="false" customHeight="false" outlineLevel="0" collapsed="false">
      <c r="A11" s="2" t="n">
        <v>10</v>
      </c>
      <c r="B11" s="2" t="s">
        <v>78</v>
      </c>
      <c r="C11" s="2" t="s">
        <v>79</v>
      </c>
      <c r="D11" s="3" t="n">
        <v>39.601</v>
      </c>
      <c r="E11" s="3" t="n">
        <v>16.518</v>
      </c>
      <c r="F11" s="2" t="s">
        <v>80</v>
      </c>
      <c r="G11" s="2" t="s">
        <v>81</v>
      </c>
      <c r="H11" s="2" t="s">
        <v>82</v>
      </c>
      <c r="I11" s="4" t="str">
        <f aca="false">HYPERLINK("https://www.romeogroup.it","https://www.romeogroup.it")</f>
        <v>https://www.romeogroup.it</v>
      </c>
      <c r="J11" s="2" t="s">
        <v>83</v>
      </c>
      <c r="K11" s="5" t="s">
        <v>84</v>
      </c>
      <c r="L11" s="2" t="s">
        <v>85</v>
      </c>
      <c r="M11" s="6" t="s">
        <v>81</v>
      </c>
      <c r="N11" s="7" t="s">
        <v>86</v>
      </c>
    </row>
    <row r="12" customFormat="false" ht="23.85" hidden="false" customHeight="false" outlineLevel="0" collapsed="false">
      <c r="A12" s="2" t="n">
        <v>11</v>
      </c>
      <c r="B12" s="2" t="s">
        <v>87</v>
      </c>
      <c r="C12" s="2" t="s">
        <v>88</v>
      </c>
      <c r="D12" s="3" t="n">
        <v>39.298</v>
      </c>
      <c r="E12" s="3" t="n">
        <v>16.254</v>
      </c>
      <c r="F12" s="2"/>
      <c r="G12" s="2"/>
      <c r="H12" s="2" t="s">
        <v>89</v>
      </c>
      <c r="I12" s="4" t="str">
        <f aca="false">HYPERLINK("https://www.enersolare.net","https://www.enersolare.net")</f>
        <v>https://www.enersolare.net</v>
      </c>
      <c r="J12" s="2" t="s">
        <v>83</v>
      </c>
      <c r="K12" s="5" t="s">
        <v>84</v>
      </c>
      <c r="L12" s="2" t="s">
        <v>90</v>
      </c>
      <c r="M12" s="6"/>
      <c r="N12" s="7"/>
    </row>
    <row r="13" customFormat="false" ht="23.85" hidden="false" customHeight="false" outlineLevel="0" collapsed="false">
      <c r="A13" s="2" t="n">
        <v>12</v>
      </c>
      <c r="B13" s="2" t="s">
        <v>91</v>
      </c>
      <c r="C13" s="2" t="s">
        <v>92</v>
      </c>
      <c r="D13" s="3" t="n">
        <v>42.763</v>
      </c>
      <c r="E13" s="3" t="n">
        <v>11.113</v>
      </c>
      <c r="F13" s="2" t="s">
        <v>93</v>
      </c>
      <c r="G13" s="2" t="s">
        <v>94</v>
      </c>
      <c r="H13" s="2" t="s">
        <v>95</v>
      </c>
      <c r="I13" s="4" t="str">
        <f aca="false">HYPERLINK("https://www.puntoclimagr.it","https://www.puntoclimagr.it")</f>
        <v>https://www.puntoclimagr.it</v>
      </c>
      <c r="J13" s="2" t="s">
        <v>96</v>
      </c>
      <c r="K13" s="5" t="s">
        <v>97</v>
      </c>
      <c r="L13" s="2" t="s">
        <v>98</v>
      </c>
      <c r="M13" s="6" t="s">
        <v>94</v>
      </c>
      <c r="N13" s="7" t="s">
        <v>99</v>
      </c>
    </row>
    <row r="14" customFormat="false" ht="23.85" hidden="false" customHeight="false" outlineLevel="0" collapsed="false">
      <c r="A14" s="2" t="n">
        <v>13</v>
      </c>
      <c r="B14" s="2" t="s">
        <v>100</v>
      </c>
      <c r="C14" s="2" t="s">
        <v>101</v>
      </c>
      <c r="D14" s="3"/>
      <c r="E14" s="3"/>
      <c r="F14" s="2"/>
      <c r="G14" s="2"/>
      <c r="H14" s="2" t="s">
        <v>102</v>
      </c>
      <c r="I14" s="4" t="str">
        <f aca="false">HYPERLINK("https://www.grimaldienergia.com","https://www.grimaldienergia.com")</f>
        <v>https://www.grimaldienergia.com</v>
      </c>
      <c r="J14" s="2" t="s">
        <v>103</v>
      </c>
      <c r="K14" s="5" t="s">
        <v>104</v>
      </c>
      <c r="L14" s="2" t="s">
        <v>104</v>
      </c>
      <c r="M14" s="6"/>
      <c r="N14" s="7"/>
    </row>
    <row r="15" customFormat="false" ht="35.05" hidden="false" customHeight="false" outlineLevel="0" collapsed="false">
      <c r="A15" s="2" t="n">
        <v>14</v>
      </c>
      <c r="B15" s="2" t="s">
        <v>105</v>
      </c>
      <c r="C15" s="2" t="s">
        <v>106</v>
      </c>
      <c r="D15" s="3" t="n">
        <v>45.575</v>
      </c>
      <c r="E15" s="3" t="n">
        <v>9.918</v>
      </c>
      <c r="F15" s="2" t="s">
        <v>107</v>
      </c>
      <c r="G15" s="2" t="s">
        <v>108</v>
      </c>
      <c r="H15" s="2" t="s">
        <v>109</v>
      </c>
      <c r="I15" s="4" t="str">
        <f aca="false">HYPERLINK("https://www.gruppomossali.com","https://www.gruppomossali.com")</f>
        <v>https://www.gruppomossali.com</v>
      </c>
      <c r="J15" s="2" t="s">
        <v>19</v>
      </c>
      <c r="K15" s="5" t="s">
        <v>110</v>
      </c>
      <c r="L15" s="2" t="s">
        <v>111</v>
      </c>
      <c r="M15" s="6" t="s">
        <v>108</v>
      </c>
      <c r="N15" s="7" t="s">
        <v>112</v>
      </c>
    </row>
    <row r="16" customFormat="false" ht="35.05" hidden="false" customHeight="false" outlineLevel="0" collapsed="false">
      <c r="A16" s="2" t="n">
        <v>15</v>
      </c>
      <c r="B16" s="2" t="s">
        <v>113</v>
      </c>
      <c r="C16" s="2" t="s">
        <v>114</v>
      </c>
      <c r="D16" s="3" t="n">
        <v>45.409</v>
      </c>
      <c r="E16" s="3" t="n">
        <v>9.268</v>
      </c>
      <c r="F16" s="2"/>
      <c r="G16" s="2"/>
      <c r="H16" s="2" t="s">
        <v>115</v>
      </c>
      <c r="I16" s="4" t="str">
        <f aca="false">HYPERLINK("https://www.myenergy.it","https://www.myenergy.it")</f>
        <v>https://www.myenergy.it</v>
      </c>
      <c r="J16" s="2" t="s">
        <v>19</v>
      </c>
      <c r="K16" s="5" t="s">
        <v>28</v>
      </c>
      <c r="L16" s="2" t="s">
        <v>116</v>
      </c>
      <c r="M16" s="6"/>
      <c r="N16" s="7"/>
    </row>
    <row r="17" customFormat="false" ht="35.05" hidden="false" customHeight="false" outlineLevel="0" collapsed="false">
      <c r="A17" s="2" t="n">
        <v>16</v>
      </c>
      <c r="B17" s="2" t="s">
        <v>117</v>
      </c>
      <c r="C17" s="2" t="s">
        <v>118</v>
      </c>
      <c r="D17" s="3" t="n">
        <v>45.658</v>
      </c>
      <c r="E17" s="3" t="n">
        <v>9.652</v>
      </c>
      <c r="F17" s="2" t="s">
        <v>119</v>
      </c>
      <c r="G17" s="2"/>
      <c r="H17" s="2" t="s">
        <v>120</v>
      </c>
      <c r="I17" s="4" t="str">
        <f aca="false">HYPERLINK("https://www.corna.it","https://www.corna.it")</f>
        <v>https://www.corna.it</v>
      </c>
      <c r="J17" s="2" t="s">
        <v>19</v>
      </c>
      <c r="K17" s="5" t="s">
        <v>20</v>
      </c>
      <c r="L17" s="2" t="s">
        <v>121</v>
      </c>
      <c r="M17" s="6"/>
      <c r="N17" s="7" t="s">
        <v>122</v>
      </c>
    </row>
    <row r="18" customFormat="false" ht="35.05" hidden="false" customHeight="false" outlineLevel="0" collapsed="false">
      <c r="A18" s="2" t="n">
        <v>17</v>
      </c>
      <c r="B18" s="2" t="s">
        <v>123</v>
      </c>
      <c r="C18" s="2" t="s">
        <v>124</v>
      </c>
      <c r="D18" s="3" t="n">
        <v>45.542</v>
      </c>
      <c r="E18" s="3" t="n">
        <v>8.887</v>
      </c>
      <c r="F18" s="2" t="s">
        <v>125</v>
      </c>
      <c r="G18" s="2"/>
      <c r="H18" s="2" t="s">
        <v>126</v>
      </c>
      <c r="I18" s="4" t="str">
        <f aca="false">HYPERLINK("https://elettromerlotti.it","https://elettromerlotti.it")</f>
        <v>https://elettromerlotti.it</v>
      </c>
      <c r="J18" s="2" t="s">
        <v>19</v>
      </c>
      <c r="K18" s="5" t="s">
        <v>28</v>
      </c>
      <c r="L18" s="2" t="s">
        <v>127</v>
      </c>
      <c r="M18" s="6"/>
      <c r="N18" s="7" t="s">
        <v>128</v>
      </c>
    </row>
    <row r="19" customFormat="false" ht="23.85" hidden="false" customHeight="false" outlineLevel="0" collapsed="false">
      <c r="A19" s="2" t="n">
        <v>18</v>
      </c>
      <c r="B19" s="2" t="s">
        <v>129</v>
      </c>
      <c r="C19" s="2" t="s">
        <v>130</v>
      </c>
      <c r="D19" s="3" t="n">
        <v>45.41</v>
      </c>
      <c r="E19" s="3" t="n">
        <v>11.88</v>
      </c>
      <c r="F19" s="2" t="s">
        <v>131</v>
      </c>
      <c r="G19" s="2" t="s">
        <v>132</v>
      </c>
      <c r="H19" s="2" t="s">
        <v>133</v>
      </c>
      <c r="I19" s="4" t="str">
        <f aca="false">HYPERLINK("https://veneco.it","https://veneco.it")</f>
        <v>https://veneco.it</v>
      </c>
      <c r="J19" s="2" t="s">
        <v>42</v>
      </c>
      <c r="K19" s="5" t="s">
        <v>134</v>
      </c>
      <c r="L19" s="2" t="s">
        <v>135</v>
      </c>
      <c r="M19" s="6" t="s">
        <v>132</v>
      </c>
      <c r="N19" s="7" t="s">
        <v>136</v>
      </c>
    </row>
    <row r="20" customFormat="false" ht="35.05" hidden="false" customHeight="false" outlineLevel="0" collapsed="false">
      <c r="A20" s="2" t="n">
        <v>19</v>
      </c>
      <c r="B20" s="2" t="s">
        <v>137</v>
      </c>
      <c r="C20" s="2" t="s">
        <v>138</v>
      </c>
      <c r="D20" s="3" t="n">
        <v>45.555</v>
      </c>
      <c r="E20" s="3" t="n">
        <v>11.713</v>
      </c>
      <c r="F20" s="2"/>
      <c r="G20" s="2" t="s">
        <v>139</v>
      </c>
      <c r="H20" s="2" t="s">
        <v>140</v>
      </c>
      <c r="I20" s="4" t="str">
        <f aca="false">HYPERLINK("https://www.munarigroup.it","https://www.munarigroup.it")</f>
        <v>https://www.munarigroup.it</v>
      </c>
      <c r="J20" s="2" t="s">
        <v>42</v>
      </c>
      <c r="K20" s="5" t="s">
        <v>134</v>
      </c>
      <c r="L20" s="2" t="s">
        <v>141</v>
      </c>
      <c r="M20" s="6" t="s">
        <v>139</v>
      </c>
      <c r="N20" s="7"/>
    </row>
    <row r="21" customFormat="false" ht="35.05" hidden="false" customHeight="false" outlineLevel="0" collapsed="false">
      <c r="A21" s="2" t="n">
        <v>20</v>
      </c>
      <c r="B21" s="2" t="s">
        <v>142</v>
      </c>
      <c r="C21" s="2" t="s">
        <v>143</v>
      </c>
      <c r="D21" s="3" t="n">
        <v>45.328</v>
      </c>
      <c r="E21" s="3" t="n">
        <v>11.872</v>
      </c>
      <c r="F21" s="2" t="s">
        <v>144</v>
      </c>
      <c r="G21" s="2"/>
      <c r="H21" s="2" t="s">
        <v>145</v>
      </c>
      <c r="I21" s="4" t="str">
        <f aca="false">HYPERLINK("https://www.zrimpianti.it","https://www.zrimpianti.it")</f>
        <v>https://www.zrimpianti.it</v>
      </c>
      <c r="J21" s="2" t="s">
        <v>42</v>
      </c>
      <c r="K21" s="5" t="s">
        <v>134</v>
      </c>
      <c r="L21" s="2" t="s">
        <v>146</v>
      </c>
      <c r="M21" s="6"/>
      <c r="N21" s="7" t="s">
        <v>144</v>
      </c>
    </row>
    <row r="22" customFormat="false" ht="35.05" hidden="false" customHeight="false" outlineLevel="0" collapsed="false">
      <c r="A22" s="2" t="n">
        <v>21</v>
      </c>
      <c r="B22" s="2" t="s">
        <v>147</v>
      </c>
      <c r="C22" s="2" t="s">
        <v>148</v>
      </c>
      <c r="D22" s="3" t="n">
        <v>44.638</v>
      </c>
      <c r="E22" s="3" t="n">
        <v>11.184</v>
      </c>
      <c r="F22" s="2"/>
      <c r="G22" s="2"/>
      <c r="H22" s="2" t="s">
        <v>149</v>
      </c>
      <c r="I22" s="4" t="str">
        <f aca="false">HYPERLINK("https://www.fineagroup.it","https://www.fineagroup.it")</f>
        <v>https://www.fineagroup.it</v>
      </c>
      <c r="J22" s="2" t="s">
        <v>51</v>
      </c>
      <c r="K22" s="5" t="s">
        <v>52</v>
      </c>
      <c r="L22" s="2" t="s">
        <v>150</v>
      </c>
      <c r="M22" s="6"/>
      <c r="N22" s="7"/>
    </row>
    <row r="23" customFormat="false" ht="46.25" hidden="false" customHeight="false" outlineLevel="0" collapsed="false">
      <c r="A23" s="2" t="n">
        <v>22</v>
      </c>
      <c r="B23" s="2" t="s">
        <v>151</v>
      </c>
      <c r="C23" s="2" t="s">
        <v>152</v>
      </c>
      <c r="D23" s="3" t="n">
        <v>44.546</v>
      </c>
      <c r="E23" s="3" t="n">
        <v>11.195</v>
      </c>
      <c r="F23" s="2" t="s">
        <v>153</v>
      </c>
      <c r="G23" s="2" t="s">
        <v>154</v>
      </c>
      <c r="H23" s="2" t="s">
        <v>155</v>
      </c>
      <c r="I23" s="4" t="str">
        <f aca="false">HYPERLINK("https://www.chiarinieferrari.it","https://www.chiarinieferrari.it")</f>
        <v>https://www.chiarinieferrari.it</v>
      </c>
      <c r="J23" s="2" t="s">
        <v>51</v>
      </c>
      <c r="K23" s="5" t="s">
        <v>52</v>
      </c>
      <c r="L23" s="2" t="s">
        <v>156</v>
      </c>
      <c r="M23" s="6" t="s">
        <v>154</v>
      </c>
      <c r="N23" s="7" t="s">
        <v>153</v>
      </c>
    </row>
    <row r="24" customFormat="false" ht="23.85" hidden="false" customHeight="false" outlineLevel="0" collapsed="false">
      <c r="A24" s="2" t="n">
        <v>23</v>
      </c>
      <c r="B24" s="2" t="s">
        <v>157</v>
      </c>
      <c r="C24" s="2" t="s">
        <v>158</v>
      </c>
      <c r="D24" s="3" t="n">
        <v>45.187</v>
      </c>
      <c r="E24" s="3" t="n">
        <v>8.107</v>
      </c>
      <c r="F24" s="2" t="s">
        <v>159</v>
      </c>
      <c r="G24" s="2"/>
      <c r="H24" s="2" t="s">
        <v>160</v>
      </c>
      <c r="I24" s="4" t="str">
        <f aca="false">HYPERLINK("https://www.azzoniimpianti.it","https://www.azzoniimpianti.it")</f>
        <v>https://www.azzoniimpianti.it</v>
      </c>
      <c r="J24" s="2" t="s">
        <v>161</v>
      </c>
      <c r="K24" s="5" t="s">
        <v>162</v>
      </c>
      <c r="L24" s="2" t="s">
        <v>163</v>
      </c>
      <c r="M24" s="6"/>
      <c r="N24" s="7" t="s">
        <v>159</v>
      </c>
    </row>
    <row r="25" customFormat="false" ht="35.05" hidden="false" customHeight="false" outlineLevel="0" collapsed="false">
      <c r="A25" s="2" t="n">
        <v>24</v>
      </c>
      <c r="B25" s="2" t="s">
        <v>164</v>
      </c>
      <c r="C25" s="2" t="s">
        <v>165</v>
      </c>
      <c r="D25" s="3" t="n">
        <v>45.358</v>
      </c>
      <c r="E25" s="3" t="n">
        <v>8.207</v>
      </c>
      <c r="F25" s="2" t="s">
        <v>166</v>
      </c>
      <c r="G25" s="2"/>
      <c r="H25" s="2" t="s">
        <v>167</v>
      </c>
      <c r="I25" s="4" t="str">
        <f aca="false">HYPERLINK("https://ecohousesrls.it","https://ecohousesrls.it")</f>
        <v>https://ecohousesrls.it</v>
      </c>
      <c r="J25" s="2" t="s">
        <v>161</v>
      </c>
      <c r="K25" s="5" t="s">
        <v>162</v>
      </c>
      <c r="L25" s="2" t="s">
        <v>168</v>
      </c>
      <c r="M25" s="6"/>
      <c r="N25" s="7" t="s">
        <v>166</v>
      </c>
    </row>
    <row r="26" customFormat="false" ht="46.25" hidden="false" customHeight="false" outlineLevel="0" collapsed="false">
      <c r="A26" s="2" t="n">
        <v>25</v>
      </c>
      <c r="B26" s="2" t="s">
        <v>169</v>
      </c>
      <c r="C26" s="2" t="s">
        <v>170</v>
      </c>
      <c r="D26" s="3" t="n">
        <v>45.236</v>
      </c>
      <c r="E26" s="3" t="n">
        <v>8.013</v>
      </c>
      <c r="F26" s="2" t="s">
        <v>171</v>
      </c>
      <c r="G26" s="2"/>
      <c r="H26" s="2" t="s">
        <v>172</v>
      </c>
      <c r="I26" s="4" t="str">
        <f aca="false">HYPERLINK("https://www.testamarco.com","https://www.testamarco.com")</f>
        <v>https://www.testamarco.com</v>
      </c>
      <c r="J26" s="2" t="s">
        <v>161</v>
      </c>
      <c r="K26" s="5" t="s">
        <v>162</v>
      </c>
      <c r="L26" s="2" t="s">
        <v>173</v>
      </c>
      <c r="M26" s="6"/>
      <c r="N26" s="7" t="s">
        <v>171</v>
      </c>
    </row>
    <row r="27" customFormat="false" ht="35.05" hidden="false" customHeight="false" outlineLevel="0" collapsed="false">
      <c r="A27" s="2" t="n">
        <v>26</v>
      </c>
      <c r="B27" s="2" t="s">
        <v>174</v>
      </c>
      <c r="C27" s="2" t="s">
        <v>175</v>
      </c>
      <c r="D27" s="3" t="n">
        <v>42.924</v>
      </c>
      <c r="E27" s="3" t="n">
        <v>10.905</v>
      </c>
      <c r="F27" s="2" t="s">
        <v>176</v>
      </c>
      <c r="G27" s="2"/>
      <c r="H27" s="2" t="s">
        <v>177</v>
      </c>
      <c r="I27" s="4" t="str">
        <f aca="false">HYPERLINK("https://energyimpiantigrosseto.it","https://energyimpiantigrosseto.it")</f>
        <v>https://energyimpiantigrosseto.it</v>
      </c>
      <c r="J27" s="2" t="s">
        <v>96</v>
      </c>
      <c r="K27" s="5" t="s">
        <v>97</v>
      </c>
      <c r="L27" s="2" t="s">
        <v>178</v>
      </c>
      <c r="M27" s="6"/>
      <c r="N27" s="7" t="s">
        <v>176</v>
      </c>
    </row>
    <row r="28" customFormat="false" ht="35.05" hidden="false" customHeight="false" outlineLevel="0" collapsed="false">
      <c r="A28" s="2" t="n">
        <v>27</v>
      </c>
      <c r="B28" s="2" t="s">
        <v>179</v>
      </c>
      <c r="C28" s="2" t="s">
        <v>180</v>
      </c>
      <c r="D28" s="3" t="n">
        <v>42.768</v>
      </c>
      <c r="E28" s="3" t="n">
        <v>11.114</v>
      </c>
      <c r="F28" s="2" t="s">
        <v>181</v>
      </c>
      <c r="G28" s="2"/>
      <c r="H28" s="2" t="s">
        <v>182</v>
      </c>
      <c r="I28" s="4" t="str">
        <f aca="false">HYPERLINK("https://nsgroup.it","https://nsgroup.it")</f>
        <v>https://nsgroup.it</v>
      </c>
      <c r="J28" s="2" t="s">
        <v>96</v>
      </c>
      <c r="K28" s="5" t="s">
        <v>97</v>
      </c>
      <c r="L28" s="2" t="s">
        <v>98</v>
      </c>
      <c r="M28" s="6"/>
      <c r="N28" s="7" t="s">
        <v>181</v>
      </c>
    </row>
    <row r="29" customFormat="false" ht="35.05" hidden="false" customHeight="false" outlineLevel="0" collapsed="false">
      <c r="A29" s="2" t="n">
        <v>28</v>
      </c>
      <c r="B29" s="2" t="s">
        <v>183</v>
      </c>
      <c r="C29" s="2" t="s">
        <v>92</v>
      </c>
      <c r="D29" s="3" t="n">
        <v>42.76</v>
      </c>
      <c r="E29" s="3" t="n">
        <v>11.107</v>
      </c>
      <c r="F29" s="2"/>
      <c r="G29" s="2"/>
      <c r="H29" s="2" t="s">
        <v>184</v>
      </c>
      <c r="I29" s="4" t="str">
        <f aca="false">HYPERLINK("https://www.fbcitalia.it","https://www.fbcitalia.it")</f>
        <v>https://www.fbcitalia.it</v>
      </c>
      <c r="J29" s="2" t="s">
        <v>96</v>
      </c>
      <c r="K29" s="5" t="s">
        <v>97</v>
      </c>
      <c r="L29" s="2" t="s">
        <v>98</v>
      </c>
      <c r="M29" s="6"/>
      <c r="N29" s="7"/>
    </row>
    <row r="30" customFormat="false" ht="46.25" hidden="false" customHeight="false" outlineLevel="0" collapsed="false">
      <c r="A30" s="2" t="n">
        <v>29</v>
      </c>
      <c r="B30" s="2" t="s">
        <v>185</v>
      </c>
      <c r="C30" s="2" t="s">
        <v>186</v>
      </c>
      <c r="D30" s="3" t="n">
        <v>45.523</v>
      </c>
      <c r="E30" s="3" t="n">
        <v>9.334</v>
      </c>
      <c r="F30" s="2" t="s">
        <v>187</v>
      </c>
      <c r="G30" s="2"/>
      <c r="H30" s="2" t="s">
        <v>188</v>
      </c>
      <c r="I30" s="4" t="str">
        <f aca="false">HYPERLINK("https://www.emmeessesolar.it","https://www.emmeessesolar.it")</f>
        <v>https://www.emmeessesolar.it</v>
      </c>
      <c r="J30" s="2" t="s">
        <v>19</v>
      </c>
      <c r="K30" s="5" t="s">
        <v>28</v>
      </c>
      <c r="L30" s="2" t="s">
        <v>189</v>
      </c>
      <c r="M30" s="6"/>
      <c r="N30" s="7" t="s">
        <v>190</v>
      </c>
    </row>
    <row r="31" customFormat="false" ht="35.05" hidden="false" customHeight="false" outlineLevel="0" collapsed="false">
      <c r="A31" s="2" t="n">
        <v>30</v>
      </c>
      <c r="B31" s="2" t="s">
        <v>191</v>
      </c>
      <c r="C31" s="2" t="s">
        <v>192</v>
      </c>
      <c r="D31" s="3" t="n">
        <v>45.532</v>
      </c>
      <c r="E31" s="3" t="n">
        <v>9.403</v>
      </c>
      <c r="F31" s="2" t="s">
        <v>193</v>
      </c>
      <c r="G31" s="2"/>
      <c r="H31" s="2" t="s">
        <v>194</v>
      </c>
      <c r="I31" s="2" t="s">
        <v>195</v>
      </c>
      <c r="J31" s="2" t="s">
        <v>19</v>
      </c>
      <c r="K31" s="5" t="s">
        <v>28</v>
      </c>
      <c r="L31" s="2" t="s">
        <v>196</v>
      </c>
      <c r="M31" s="6"/>
      <c r="N31" s="7" t="s">
        <v>197</v>
      </c>
    </row>
    <row r="32" customFormat="false" ht="35.05" hidden="false" customHeight="false" outlineLevel="0" collapsed="false">
      <c r="A32" s="2" t="n">
        <v>31</v>
      </c>
      <c r="B32" s="2" t="s">
        <v>198</v>
      </c>
      <c r="C32" s="2" t="s">
        <v>199</v>
      </c>
      <c r="D32" s="3" t="n">
        <v>45.553</v>
      </c>
      <c r="E32" s="3" t="n">
        <v>9.288</v>
      </c>
      <c r="F32" s="2" t="s">
        <v>200</v>
      </c>
      <c r="G32" s="2" t="s">
        <v>201</v>
      </c>
      <c r="H32" s="2" t="s">
        <v>202</v>
      </c>
      <c r="I32" s="4" t="str">
        <f aca="false">HYPERLINK("https://www.dmlidee.com","https://www.dmlidee.com")</f>
        <v>https://www.dmlidee.com</v>
      </c>
      <c r="J32" s="2" t="s">
        <v>19</v>
      </c>
      <c r="K32" s="5" t="s">
        <v>203</v>
      </c>
      <c r="L32" s="2" t="s">
        <v>204</v>
      </c>
      <c r="M32" s="6" t="s">
        <v>201</v>
      </c>
      <c r="N32" s="7" t="s">
        <v>205</v>
      </c>
    </row>
    <row r="33" customFormat="false" ht="35.05" hidden="false" customHeight="false" outlineLevel="0" collapsed="false">
      <c r="A33" s="2" t="n">
        <v>32</v>
      </c>
      <c r="B33" s="2" t="s">
        <v>206</v>
      </c>
      <c r="C33" s="2" t="s">
        <v>207</v>
      </c>
      <c r="D33" s="3" t="n">
        <v>45.5374</v>
      </c>
      <c r="E33" s="3" t="n">
        <v>9.4028</v>
      </c>
      <c r="F33" s="2" t="s">
        <v>208</v>
      </c>
      <c r="G33" s="2"/>
      <c r="H33" s="2" t="s">
        <v>209</v>
      </c>
      <c r="I33" s="4" t="str">
        <f aca="false">HYPERLINK("https://www.zdmechatronics.it","https://www.zdmechatronics.it")</f>
        <v>https://www.zdmechatronics.it</v>
      </c>
      <c r="J33" s="2" t="s">
        <v>19</v>
      </c>
      <c r="K33" s="5" t="s">
        <v>28</v>
      </c>
      <c r="L33" s="2" t="s">
        <v>196</v>
      </c>
      <c r="M33" s="6"/>
      <c r="N33" s="7" t="s">
        <v>210</v>
      </c>
    </row>
    <row r="34" customFormat="false" ht="35.05" hidden="false" customHeight="false" outlineLevel="0" collapsed="false">
      <c r="A34" s="2" t="n">
        <v>33</v>
      </c>
      <c r="B34" s="2" t="s">
        <v>211</v>
      </c>
      <c r="C34" s="2" t="s">
        <v>212</v>
      </c>
      <c r="D34" s="3" t="n">
        <v>45.679</v>
      </c>
      <c r="E34" s="3" t="n">
        <v>9.387</v>
      </c>
      <c r="F34" s="2" t="s">
        <v>213</v>
      </c>
      <c r="G34" s="2" t="s">
        <v>214</v>
      </c>
      <c r="H34" s="2" t="s">
        <v>215</v>
      </c>
      <c r="I34" s="4" t="str">
        <f aca="false">HYPERLINK("https://www.petalo.net","https://www.petalo.net")</f>
        <v>https://www.petalo.net</v>
      </c>
      <c r="J34" s="2" t="s">
        <v>19</v>
      </c>
      <c r="K34" s="5" t="s">
        <v>60</v>
      </c>
      <c r="L34" s="2" t="s">
        <v>216</v>
      </c>
      <c r="M34" s="6" t="s">
        <v>214</v>
      </c>
      <c r="N34" s="7" t="s">
        <v>217</v>
      </c>
    </row>
    <row r="35" customFormat="false" ht="35.05" hidden="false" customHeight="false" outlineLevel="0" collapsed="false">
      <c r="A35" s="2" t="n">
        <v>34</v>
      </c>
      <c r="B35" s="2" t="s">
        <v>218</v>
      </c>
      <c r="C35" s="2" t="s">
        <v>219</v>
      </c>
      <c r="D35" s="3" t="n">
        <v>45.5486</v>
      </c>
      <c r="E35" s="3" t="n">
        <v>8.8735</v>
      </c>
      <c r="F35" s="2" t="s">
        <v>220</v>
      </c>
      <c r="G35" s="2" t="s">
        <v>221</v>
      </c>
      <c r="H35" s="2" t="s">
        <v>222</v>
      </c>
      <c r="I35" s="4" t="str">
        <f aca="false">HYPERLINK("https://www.intechgroup.eu","https://www.intechgroup.eu")</f>
        <v>https://www.intechgroup.eu</v>
      </c>
      <c r="J35" s="2" t="s">
        <v>19</v>
      </c>
      <c r="K35" s="5" t="s">
        <v>28</v>
      </c>
      <c r="L35" s="2" t="s">
        <v>127</v>
      </c>
      <c r="M35" s="6" t="s">
        <v>221</v>
      </c>
      <c r="N35" s="7" t="s">
        <v>223</v>
      </c>
    </row>
    <row r="36" customFormat="false" ht="35.05" hidden="false" customHeight="false" outlineLevel="0" collapsed="false">
      <c r="A36" s="2" t="n">
        <v>35</v>
      </c>
      <c r="B36" s="2" t="s">
        <v>224</v>
      </c>
      <c r="C36" s="2" t="s">
        <v>225</v>
      </c>
      <c r="D36" s="3" t="n">
        <v>45.571</v>
      </c>
      <c r="E36" s="3" t="n">
        <v>9.027</v>
      </c>
      <c r="F36" s="2" t="s">
        <v>226</v>
      </c>
      <c r="G36" s="2"/>
      <c r="H36" s="2" t="s">
        <v>227</v>
      </c>
      <c r="I36" s="4" t="str">
        <f aca="false">HYPERLINK("https://www.emvgroup.eu","https://www.emvgroup.eu")</f>
        <v>https://www.emvgroup.eu</v>
      </c>
      <c r="J36" s="2" t="s">
        <v>19</v>
      </c>
      <c r="K36" s="5" t="s">
        <v>28</v>
      </c>
      <c r="L36" s="2" t="s">
        <v>228</v>
      </c>
      <c r="M36" s="6"/>
      <c r="N36" s="7" t="s">
        <v>229</v>
      </c>
    </row>
    <row r="37" customFormat="false" ht="35.05" hidden="false" customHeight="false" outlineLevel="0" collapsed="false">
      <c r="A37" s="2" t="n">
        <v>36</v>
      </c>
      <c r="B37" s="2" t="s">
        <v>230</v>
      </c>
      <c r="C37" s="2" t="s">
        <v>231</v>
      </c>
      <c r="D37" s="3" t="n">
        <v>45.469</v>
      </c>
      <c r="E37" s="3" t="n">
        <v>8.917</v>
      </c>
      <c r="F37" s="2" t="s">
        <v>232</v>
      </c>
      <c r="G37" s="2"/>
      <c r="H37" s="2" t="s">
        <v>233</v>
      </c>
      <c r="I37" s="4" t="str">
        <f aca="false">HYPERLINK("https://www.bragoni.com","https://www.bragoni.com")</f>
        <v>https://www.bragoni.com</v>
      </c>
      <c r="J37" s="2" t="s">
        <v>19</v>
      </c>
      <c r="K37" s="5" t="s">
        <v>28</v>
      </c>
      <c r="L37" s="2" t="s">
        <v>234</v>
      </c>
      <c r="M37" s="6"/>
      <c r="N37" s="7" t="s">
        <v>235</v>
      </c>
    </row>
    <row r="38" customFormat="false" ht="46.25" hidden="false" customHeight="false" outlineLevel="0" collapsed="false">
      <c r="A38" s="8" t="n">
        <v>37</v>
      </c>
      <c r="B38" s="8" t="s">
        <v>236</v>
      </c>
      <c r="C38" s="8" t="s">
        <v>237</v>
      </c>
      <c r="D38" s="9" t="n">
        <v>45.07</v>
      </c>
      <c r="E38" s="9" t="n">
        <v>11.79</v>
      </c>
      <c r="F38" s="8" t="s">
        <v>238</v>
      </c>
      <c r="G38" s="8" t="s">
        <v>239</v>
      </c>
      <c r="H38" s="8" t="s">
        <v>240</v>
      </c>
      <c r="I38" s="4" t="str">
        <f aca="false">HYPERLINK("https://oempv.it","https://oempv.it")</f>
        <v>https://oempv.it</v>
      </c>
      <c r="J38" s="8" t="s">
        <v>42</v>
      </c>
      <c r="K38" s="10" t="s">
        <v>241</v>
      </c>
      <c r="L38" s="8" t="s">
        <v>242</v>
      </c>
      <c r="M38" s="8" t="s">
        <v>239</v>
      </c>
      <c r="N38" s="11" t="s">
        <v>238</v>
      </c>
    </row>
    <row r="39" customFormat="false" ht="35.05" hidden="false" customHeight="false" outlineLevel="0" collapsed="false">
      <c r="A39" s="8" t="n">
        <v>38</v>
      </c>
      <c r="B39" s="8" t="s">
        <v>243</v>
      </c>
      <c r="C39" s="8" t="s">
        <v>244</v>
      </c>
      <c r="D39" s="9" t="n">
        <v>41.9</v>
      </c>
      <c r="E39" s="9" t="n">
        <v>12.5</v>
      </c>
      <c r="F39" s="8"/>
      <c r="G39" s="8" t="s">
        <v>245</v>
      </c>
      <c r="H39" s="8" t="s">
        <v>246</v>
      </c>
      <c r="I39" s="4" t="str">
        <f aca="false">HYPERLINK("https://oem.solteck.it","https://oem.solteck.it")</f>
        <v>https://oem.solteck.it</v>
      </c>
      <c r="J39" s="8" t="s">
        <v>247</v>
      </c>
      <c r="K39" s="10" t="s">
        <v>248</v>
      </c>
      <c r="L39" s="8" t="s">
        <v>249</v>
      </c>
      <c r="M39" s="8" t="s">
        <v>245</v>
      </c>
      <c r="N39" s="11"/>
    </row>
    <row r="40" customFormat="false" ht="46.25" hidden="false" customHeight="false" outlineLevel="0" collapsed="false">
      <c r="A40" s="8" t="n">
        <v>39</v>
      </c>
      <c r="B40" s="8" t="s">
        <v>250</v>
      </c>
      <c r="C40" s="8" t="s">
        <v>251</v>
      </c>
      <c r="D40" s="9" t="n">
        <v>45.541</v>
      </c>
      <c r="E40" s="9" t="n">
        <v>10.211</v>
      </c>
      <c r="F40" s="8"/>
      <c r="G40" s="8"/>
      <c r="H40" s="8" t="s">
        <v>252</v>
      </c>
      <c r="I40" s="4" t="str">
        <f aca="false">HYPERLINK("https://i-pergola.it","https://i-pergola.it")</f>
        <v>https://i-pergola.it</v>
      </c>
      <c r="J40" s="8" t="s">
        <v>19</v>
      </c>
      <c r="K40" s="10" t="s">
        <v>110</v>
      </c>
      <c r="L40" s="8" t="s">
        <v>253</v>
      </c>
      <c r="M40" s="8"/>
      <c r="N40" s="11"/>
    </row>
    <row r="41" customFormat="false" ht="35.05" hidden="false" customHeight="false" outlineLevel="0" collapsed="false">
      <c r="A41" s="8" t="n">
        <v>40</v>
      </c>
      <c r="B41" s="8" t="s">
        <v>254</v>
      </c>
      <c r="C41" s="8" t="s">
        <v>255</v>
      </c>
      <c r="D41" s="9" t="n">
        <v>42.83</v>
      </c>
      <c r="E41" s="9" t="n">
        <v>13.83</v>
      </c>
      <c r="F41" s="8" t="s">
        <v>256</v>
      </c>
      <c r="G41" s="8"/>
      <c r="H41" s="8" t="s">
        <v>257</v>
      </c>
      <c r="I41" s="4" t="str">
        <f aca="false">HYPERLINK("https://servicetec.it","https://servicetec.it")</f>
        <v>https://servicetec.it</v>
      </c>
      <c r="J41" s="8" t="s">
        <v>258</v>
      </c>
      <c r="K41" s="10" t="s">
        <v>259</v>
      </c>
      <c r="L41" s="8" t="s">
        <v>260</v>
      </c>
      <c r="M41" s="8"/>
      <c r="N41" s="11" t="s">
        <v>256</v>
      </c>
    </row>
    <row r="42" customFormat="false" ht="46.25" hidden="false" customHeight="false" outlineLevel="0" collapsed="false">
      <c r="A42" s="8" t="n">
        <v>41</v>
      </c>
      <c r="B42" s="8" t="s">
        <v>261</v>
      </c>
      <c r="C42" s="8" t="s">
        <v>262</v>
      </c>
      <c r="D42" s="9" t="n">
        <v>45.438</v>
      </c>
      <c r="E42" s="9" t="n">
        <v>10.992</v>
      </c>
      <c r="F42" s="8"/>
      <c r="G42" s="8"/>
      <c r="H42" s="8" t="s">
        <v>263</v>
      </c>
      <c r="I42" s="4" t="str">
        <f aca="false">HYPERLINK("https://www.assistenzefotovoltaico.it","https://www.assistenzefotovoltaico.it")</f>
        <v>https://www.assistenzefotovoltaico.it</v>
      </c>
      <c r="J42" s="8" t="s">
        <v>42</v>
      </c>
      <c r="K42" s="10" t="s">
        <v>264</v>
      </c>
      <c r="L42" s="8" t="s">
        <v>265</v>
      </c>
      <c r="M42" s="8"/>
      <c r="N42" s="11"/>
    </row>
    <row r="43" customFormat="false" ht="57.45" hidden="false" customHeight="false" outlineLevel="0" collapsed="false">
      <c r="A43" s="8" t="n">
        <v>42</v>
      </c>
      <c r="B43" s="8" t="s">
        <v>266</v>
      </c>
      <c r="C43" s="8" t="s">
        <v>267</v>
      </c>
      <c r="D43" s="9" t="n">
        <v>45.345</v>
      </c>
      <c r="E43" s="9" t="n">
        <v>8.066</v>
      </c>
      <c r="F43" s="8" t="s">
        <v>268</v>
      </c>
      <c r="G43" s="8" t="s">
        <v>269</v>
      </c>
      <c r="H43" s="8" t="s">
        <v>270</v>
      </c>
      <c r="I43" s="4" t="str">
        <f aca="false">HYPERLINK("https://www.soland.it","https://www.soland.it")</f>
        <v>https://www.soland.it</v>
      </c>
      <c r="J43" s="8" t="s">
        <v>161</v>
      </c>
      <c r="K43" s="10" t="s">
        <v>162</v>
      </c>
      <c r="L43" s="8" t="s">
        <v>271</v>
      </c>
      <c r="M43" s="8" t="s">
        <v>269</v>
      </c>
      <c r="N43" s="11" t="s">
        <v>268</v>
      </c>
    </row>
    <row r="44" customFormat="false" ht="57.45" hidden="false" customHeight="false" outlineLevel="0" collapsed="false">
      <c r="A44" s="8" t="n">
        <v>43</v>
      </c>
      <c r="B44" s="8" t="s">
        <v>272</v>
      </c>
      <c r="C44" s="8" t="s">
        <v>273</v>
      </c>
      <c r="D44" s="9" t="n">
        <v>45.181</v>
      </c>
      <c r="E44" s="9" t="n">
        <v>11.065</v>
      </c>
      <c r="F44" s="8" t="s">
        <v>274</v>
      </c>
      <c r="G44" s="8" t="s">
        <v>275</v>
      </c>
      <c r="H44" s="8" t="s">
        <v>276</v>
      </c>
      <c r="I44" s="4" t="str">
        <f aca="false">HYPERLINK("https://www.omnia.pro","https://www.omnia.pro")</f>
        <v>https://www.omnia.pro</v>
      </c>
      <c r="J44" s="8" t="s">
        <v>42</v>
      </c>
      <c r="K44" s="10" t="s">
        <v>264</v>
      </c>
      <c r="L44" s="8" t="s">
        <v>277</v>
      </c>
      <c r="M44" s="8" t="s">
        <v>275</v>
      </c>
      <c r="N44" s="11" t="s">
        <v>274</v>
      </c>
    </row>
    <row r="45" customFormat="false" ht="57.45" hidden="false" customHeight="false" outlineLevel="0" collapsed="false">
      <c r="A45" s="8" t="n">
        <v>44</v>
      </c>
      <c r="B45" s="8" t="s">
        <v>278</v>
      </c>
      <c r="C45" s="8" t="s">
        <v>279</v>
      </c>
      <c r="D45" s="9" t="n">
        <v>45.516</v>
      </c>
      <c r="E45" s="9" t="n">
        <v>9.366</v>
      </c>
      <c r="F45" s="8"/>
      <c r="G45" s="8" t="s">
        <v>280</v>
      </c>
      <c r="H45" s="8" t="s">
        <v>281</v>
      </c>
      <c r="I45" s="4" t="str">
        <f aca="false">HYPERLINK("https://www.xiber-es.com","https://www.xiber-es.com")</f>
        <v>https://www.xiber-es.com</v>
      </c>
      <c r="J45" s="8" t="s">
        <v>19</v>
      </c>
      <c r="K45" s="10" t="s">
        <v>28</v>
      </c>
      <c r="L45" s="8" t="s">
        <v>282</v>
      </c>
      <c r="M45" s="8" t="s">
        <v>280</v>
      </c>
      <c r="N45" s="11"/>
    </row>
    <row r="46" customFormat="false" ht="35.05" hidden="false" customHeight="false" outlineLevel="0" collapsed="false">
      <c r="A46" s="12" t="n">
        <v>45</v>
      </c>
      <c r="B46" s="12" t="s">
        <v>283</v>
      </c>
      <c r="C46" s="12" t="s">
        <v>284</v>
      </c>
      <c r="D46" s="13" t="n">
        <v>45.468</v>
      </c>
      <c r="E46" s="13" t="n">
        <v>9.176</v>
      </c>
      <c r="F46" s="12"/>
      <c r="G46" s="12"/>
      <c r="H46" s="12" t="s">
        <v>285</v>
      </c>
      <c r="I46" s="2" t="s">
        <v>195</v>
      </c>
      <c r="J46" s="12" t="s">
        <v>19</v>
      </c>
      <c r="K46" s="14" t="s">
        <v>28</v>
      </c>
      <c r="L46" s="12" t="s">
        <v>286</v>
      </c>
      <c r="M46" s="12" t="s">
        <v>287</v>
      </c>
      <c r="N46" s="15"/>
    </row>
    <row r="47" customFormat="false" ht="23.85" hidden="false" customHeight="false" outlineLevel="0" collapsed="false">
      <c r="A47" s="12" t="n">
        <v>46</v>
      </c>
      <c r="B47" s="12" t="s">
        <v>288</v>
      </c>
      <c r="C47" s="12" t="s">
        <v>289</v>
      </c>
      <c r="D47" s="13" t="n">
        <v>45.353</v>
      </c>
      <c r="E47" s="13" t="n">
        <v>10.952</v>
      </c>
      <c r="F47" s="12" t="s">
        <v>290</v>
      </c>
      <c r="G47" s="12"/>
      <c r="H47" s="12" t="s">
        <v>291</v>
      </c>
      <c r="I47" s="4" t="str">
        <f aca="false">HYPERLINK("http://www.termoelettricasrl.it","http://www.termoelettricasrl.it")</f>
        <v>http://www.termoelettricasrl.it</v>
      </c>
      <c r="J47" s="12" t="s">
        <v>42</v>
      </c>
      <c r="K47" s="14" t="s">
        <v>264</v>
      </c>
      <c r="L47" s="12" t="s">
        <v>292</v>
      </c>
      <c r="M47" s="12"/>
      <c r="N47" s="15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2026-06-08T16:06:47Z</dcterms:created>
  <dc:creator>openpyxl</dc:creator>
  <dc:description/>
  <dc:language>en-US</dc:language>
  <cp:lastModifiedBy/>
  <dcterms:modified xsi:type="dcterms:W3CDTF">2026-06-08T16:06:47Z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