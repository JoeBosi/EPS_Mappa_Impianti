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_installator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<sst xmlns="http://schemas.openxmlformats.org/spreadsheetml/2006/main" count="116" uniqueCount="112">
  <si>
    <t xml:space="preserve">id</t>
  </si>
  <si>
    <t xml:space="preserve">nome</t>
  </si>
  <si>
    <t xml:space="preserve">indirizzo</t>
  </si>
  <si>
    <t xml:space="preserve">lat</t>
  </si>
  <si>
    <t xml:space="preserve">lng</t>
  </si>
  <si>
    <t xml:space="preserve">note</t>
  </si>
  <si>
    <t xml:space="preserve">sito_web</t>
  </si>
  <si>
    <t xml:space="preserve">KRK Energy Service S.r.l.</t>
  </si>
  <si>
    <t xml:space="preserve">Via Prefabbricati snc, Martinengo (BG)</t>
  </si>
  <si>
    <t xml:space="preserve">Servizi: installazione + manutenzione (ord./straord.) + pulizia pannelli + termografia. Fatturato: n.d. (richiedere visura). Dipendenti: n.d. Tel: 0363 1591034 (verificato). Email: info@krkenergyservice.com (verificata). Contatto: ufficio tecnico-commerciale (nome non disponibile).</t>
  </si>
  <si>
    <t xml:space="preserve">SR Elettrotecnica</t>
  </si>
  <si>
    <t xml:space="preserve">Largo Sant'Angelo 9, Canegrate (MI)</t>
  </si>
  <si>
    <t xml:space="preserve">Servizi: installazione + manutenzione (ord./straord.) + pulizia pannelli. Fatturato: n.d. Dipendenti: n.d. Tel: 351 3729093 (verificato). Email: info@srelettrotecnica.it (verificata). Contatto: n.d.</t>
  </si>
  <si>
    <t xml:space="preserve">Energy Team S.r.l.</t>
  </si>
  <si>
    <t xml:space="preserve">Via G. Mameli 24, Busto Arsizio (VA)</t>
  </si>
  <si>
    <t xml:space="preserve">Servizi: installazione + manutenzione + pulizia pannelli + controllo inverter. Fatturato: n.d. Dipendenti: n.d. Tel: 0331 324959 (verificato). Email: n.d. (solo modulo sito). Contatto: n.d. NB: S.r.l. termotecnica di Busto Arsizio; verificare non sia omonima societa di monitoraggio.</t>
  </si>
  <si>
    <t xml:space="preserve">MG Impianti S.r.l.</t>
  </si>
  <si>
    <t xml:space="preserve">Celeseo di Vigonovo (VE)</t>
  </si>
  <si>
    <t xml:space="preserve">Servizi: installazione + O&amp;M (verifiche programmate + pronto intervento). Qualifica FER, norme CEI. Dal 1999, 1500+ progetti. Fatturato: n.d. Dipendenti: n.d. Tel: 049 9790651 (verificato). Email: n.d. (solo modulo sito). Contatto: ufficio commerciale.</t>
  </si>
  <si>
    <t xml:space="preserve">Greentech Impianti S.r.l.</t>
  </si>
  <si>
    <t xml:space="preserve">Via Persicetana 20, Sala Bolognese (BO)</t>
  </si>
  <si>
    <t xml:space="preserve">Servizi: installazione FV industriale + O&amp;M (1-2 visite/anno + teleassistenza) + lavaggio moduli. REA BO-478747, cap.soc. 20.000 EUR. Fatturato: n.d. Dipendenti: n.d. Tel: 051 6814567 (verificato). Email: info@greentechimpianti.com (verificata). Contatto: ufficio tecnico.</t>
  </si>
  <si>
    <t xml:space="preserve">Elettrica Rogeno S.r.l.</t>
  </si>
  <si>
    <t xml:space="preserve">Via Calvenzana Inferiore 17, Rogeno (LC)</t>
  </si>
  <si>
    <t xml:space="preserve">Servizi: installazione FV + accumulo + verifiche tecniche/manutenzione (pulizia da confermare; dal 1999). Fatturato: n.d. (richiedere visura). Dipendenti: n.d. Tel: 031 876147 (verificato). Email: info@elettricarogeno.it (verificata). Contatti: Mario Corti (AD), Cristian Malavasi (DG). Copre Lombardia/Piemonte(VC)/Veneto/Emilia.</t>
  </si>
  <si>
    <t xml:space="preserve">GR Energy S.r.l.</t>
  </si>
  <si>
    <t xml:space="preserve">Via Nino di Palma 2, Campi Salentina (LE)</t>
  </si>
  <si>
    <t xml:space="preserve">Servizi: installazione + O&amp;M anche su impianti di terzi + lavaggio moduli + cura del verde + telecontrollo. P.IVA 04339690754. Fatturato: n.d. Dipendenti: n.d. Tel: NON verificato (solo sito). Email: info@gr-energy.it (verificata). Contatto: ufficio O&amp;M.</t>
  </si>
  <si>
    <t xml:space="preserve">Qesco S.r.l.</t>
  </si>
  <si>
    <t xml:space="preserve">Lecce (LE)</t>
  </si>
  <si>
    <t xml:space="preserve">Servizi: installazione + manutenzione 'tutto incluso' (pannelli, inverter, componenti). Copre LE/BR/TA. Fatturato: n.d. Dipendenti: n.d. Tel: NON verificato (solo sito). Email: NON verificata (solo sito). Contatto: n.d.</t>
  </si>
  <si>
    <t xml:space="preserve">S.N. Impianti</t>
  </si>
  <si>
    <t xml:space="preserve">Galatina (LE)</t>
  </si>
  <si>
    <t xml:space="preserve">Servizi: installazione + manutenzione + pulizia, reperibilita H24. Ditta locale. Fatturato: n.d. Dipendenti: n.d. Tel: NON verificato (solo sito). Email: NON verificata (solo sito). Contatto: titolare.</t>
  </si>
  <si>
    <t xml:space="preserve">Romeo Group - Fotovoltaica S.r.l.</t>
  </si>
  <si>
    <t xml:space="preserve">Z.I. C.da Sant'Irene, Corigliano-Rossano (CS)</t>
  </si>
  <si>
    <t xml:space="preserve">Servizi: installazione/EPC + O&amp;M integrato + verifiche SPI. ESCo certificata (dich.), dal 1987. P.IVA 01659240780, REA CS-111767, cap.soc. 100.000 EUR. Fatturato: n.d. Dipendenti: n.d. Tel: 0983 565374 (verificato) (WhatsApp 347 9110013). Email: segreteria@romeogroup.it (verificata). Contatto: segreteria commerciale.</t>
  </si>
  <si>
    <t xml:space="preserve">Enersolare</t>
  </si>
  <si>
    <t xml:space="preserve">Cosenza (CS)</t>
  </si>
  <si>
    <t xml:space="preserve">Servizi: installazione + manutenzione ord./straord. + pulizia pannelli. 5+ MW installati in zona (dich.). Fatturato: n.d. Dipendenti: n.d. Tel: NON verificato (solo sito). Email: NON verificata (solo sito). Contatto: ufficio tecnico.</t>
  </si>
  <si>
    <t xml:space="preserve">Punto Clima</t>
  </si>
  <si>
    <t xml:space="preserve">Grosseto (GR)</t>
  </si>
  <si>
    <t xml:space="preserve">Servizi: installazione/assistenza + manutenzione + pulizia pannelli. Copre GR e zona Amiata (Seggiano). Fatturato: n.d. Dipendenti: n.d. Tel: 0564 24716 / 338 3045378 (verificato). Email: info@puntoclimagr.it (verificata). Contatto: ufficio assistenza.</t>
  </si>
  <si>
    <t xml:space="preserve">Grimaldi Energia</t>
  </si>
  <si>
    <t xml:space="preserve">Campania (sede da confermare)</t>
  </si>
  <si>
    <t xml:space="preserve">Servizi: installazione + manutenzione + pulizia + verifica cassetta prova rele (SPI). Copre SA/NA/CE/BN/AV. Fatturato: n.d. Dipendenti: n.d. Tel: NON verificato (solo sito). Email: NON verificata (solo modulo sito). Contatto: ufficio commerciale.</t>
  </si>
  <si>
    <t xml:space="preserve">Gruppo Mossali</t>
  </si>
  <si>
    <t xml:space="preserve">Via G. di Vittorio 1, Pontoglio (BS)</t>
  </si>
  <si>
    <t xml:space="preserve">Servizi: installazione + manutenzione + pulizia moduli/inverter + termografia (anche coperture/amianto). Fatturato: n.d. (richiedere visura). Dipendenti: n.d. Tel: 030 737097 (verificato). Email: info@gruppomossali.com (verificata). Contatto: uff. commerciale. Sede Pontoglio (BS); opera anche su Milano.</t>
  </si>
  <si>
    <t xml:space="preserve">Myenergy S.p.A.</t>
  </si>
  <si>
    <t xml:space="preserve">Via Angelo Moro 109, San Donato Milanese (MI)</t>
  </si>
  <si>
    <t xml:space="preserve">Servizi: progettazione + installazione + collaudo FV (EPC/ESCo) + manutenzione ordinaria/assistenza (pulizia da confermare). Fatturato: ~110 mln EUR (dichiarato sito). Dipendenti: ~95 (dich.). Tel/Email: tramite form sito (non pubblicati). P.IVA 05528670960.</t>
  </si>
  <si>
    <t xml:space="preserve">Corna Impianti S.r.l.</t>
  </si>
  <si>
    <t xml:space="preserve">Via Mascagni 7/A, Stezzano (BG)</t>
  </si>
  <si>
    <t xml:space="preserve">Servizi: progettazione/costruzione/installazione FV + impianti elettrici + manutenzione + pulizia pannelli + taratura SPI + termografia (40 anni). Fatturato: n.d. (richiedere visura). Dipendenti: n.d. Tel: 035 4540660 (verificato). Email: via form sito (social@corna.it su FB). P.IVA 02659580167. Copre BG/MI/BO.</t>
  </si>
  <si>
    <t xml:space="preserve">Elettromeccanica Merlotti S.r.l.</t>
  </si>
  <si>
    <t xml:space="preserve">Via S. Geltrude 49, Busto Garolfo (MI)</t>
  </si>
  <si>
    <t xml:space="preserve">Servizi: installazione + manutenzione/riparazione impianti elettrici, fotovoltaici, condizionamento, domotica, videosorveglianza (pulizia da confermare; 60 anni). Fatturato: 1.581.683 EUR (2023). Dipendenti: 20-49. Tel: 0331 566867 (verificato). Email: via form sito. P.IVA 08015670154.</t>
  </si>
  <si>
    <t xml:space="preserve">Veneco</t>
  </si>
  <si>
    <t xml:space="preserve">Padova (PD)</t>
  </si>
  <si>
    <t xml:space="preserve">Servizi: installazione + manutenzione/assistenza (pulizia da confermare). Fatturato: n.d. (richiedere visura). Dipendenti: n.d. Tel: 049 2276410 (verificato). Email: info@veneco.it (verificata). Contatto: n.d. Copre PD/VE/VI/TV; oltre 10 anni.</t>
  </si>
  <si>
    <t xml:space="preserve">Munari Group S.r.l.</t>
  </si>
  <si>
    <t xml:space="preserve">Padova / Vicenza</t>
  </si>
  <si>
    <t xml:space="preserve">Servizi: installazione + manutenzione (pulizia da confermare). Fatturato: n.d. (richiedere visura). Dipendenti: n.d. Tel: NON verificato (solo sito). Email: NON verificata (solo sito). Contatto: n.d. Copre PD/VI.</t>
  </si>
  <si>
    <t xml:space="preserve">ZR di Zannin Renato S.r.l.</t>
  </si>
  <si>
    <t xml:space="preserve">Veneto (PD/VE/TV/VI)</t>
  </si>
  <si>
    <t xml:space="preserve">Servizi: installazione + manutenzione (pulizia da confermare). Fatturato: n.d. (richiedere visura). Dipendenti: n.d. Tel: NON verificato (solo sito). Email: NON verificata (solo sito). Contatto: n.d.</t>
  </si>
  <si>
    <t xml:space="preserve">Fineagroup</t>
  </si>
  <si>
    <t xml:space="preserve">Bologna / Ferrara</t>
  </si>
  <si>
    <t xml:space="preserve">Servizi: installazione + manutenzione (pulizia da confermare). Fatturato: n.d. (richiedere visura). Dipendenti: n.d. Tel: NON verificato (solo sito). Email: NON verificata (solo sito). Contatto: n.d. Copre BO/FE.</t>
  </si>
  <si>
    <t xml:space="preserve">Chiarini e Ferrari IT S.r.l.</t>
  </si>
  <si>
    <t xml:space="preserve">Bologna (BO)</t>
  </si>
  <si>
    <t xml:space="preserve">Servizi: installazione + manutenzione (pulizia da confermare); certificazione CSQ. Fatturato: n.d. (richiedere visura). Dipendenti: n.d. Tel: NON verificato (solo sito). Email: NON verificata (solo sito). Contatto: n.d. Copre BO/MO/PR.</t>
  </si>
  <si>
    <t xml:space="preserve">Azzoni Impianti (AM Elettronica)</t>
  </si>
  <si>
    <t xml:space="preserve">Crescentino (VC)</t>
  </si>
  <si>
    <t xml:space="preserve">Servizi: installazione + manutenzione + pulizia + verifiche periodiche, anche su impianti esistenti/di terzi. Fatturato: n.d. (richiedere visura). Dipendenti: n.d. Tel: NON verificato (solo sito). Email: NON verificata (solo sito). Contatto: Maurizio Azzoni. Copre la provincia di Vercelli.</t>
  </si>
  <si>
    <t xml:space="preserve">Energie Italiane</t>
  </si>
  <si>
    <t xml:space="preserve">Vercelli (VC)</t>
  </si>
  <si>
    <t xml:space="preserve">Servizi: installazione + manutenzione + pulizia pannelli. Fatturato: n.d. (richiedere visura). Dipendenti: n.d. Tel: NON verificato (solo sito). Email: NON verificata (solo sito). Contatto: n.d. Opera su Vercelli.</t>
  </si>
  <si>
    <t xml:space="preserve">Valoresolare</t>
  </si>
  <si>
    <t xml:space="preserve">Servizi: installazione + manutenzione (pulizia da confermare). Fatturato: n.d. (richiedere visura). Dipendenti: n.d. Tel: NON verificato (solo sito). Email: NON verificata (solo sito). Contatto: n.d. Opera su Vercelli.</t>
  </si>
  <si>
    <t xml:space="preserve">Energy Impianti (Salutari)</t>
  </si>
  <si>
    <t xml:space="preserve">Servizi: installazione + manutenzione + pulizia. Fatturato: n.d. (richiedere visura). Dipendenti: n.d. Tel: NON verificato (accesso automatico bloccato). Email: NON verificata. Contatto: Fabrizio Salutari (da confermare). Opera su Grosseto.</t>
  </si>
  <si>
    <t xml:space="preserve">New Service Group</t>
  </si>
  <si>
    <t xml:space="preserve">Servizi: installazione + manutenzione + pulizia. Fatturato: n.d. (richiedere visura). Dipendenti: n.d. Tel: NON verificato (solo sito). Email: NON verificata (solo sito). Contatto: n.d. Opera su Grosseto.</t>
  </si>
  <si>
    <t xml:space="preserve">FBC Italia</t>
  </si>
  <si>
    <t xml:space="preserve">Servizi: installazione + manutenzione (pulizia da confermare). Fatturato: n.d. (richiedere visura). Dipendenti: n.d. Tel: NON verificato (solo sito). Email: NON verificata (solo sito). Contatto: n.d. Opera su Grosseto.</t>
  </si>
  <si>
    <t xml:space="preserve">Emme Esse Solar (Garoli &amp; Pagano S.n.c.)</t>
  </si>
  <si>
    <t xml:space="preserve">Cernusco sul Naviglio (MI) - area Martesana</t>
  </si>
  <si>
    <t xml:space="preserve">Servizi: installazione + manutenzione + pulizia pannelli + monitoraggio + CER. Fatturato: n.d. (richiedere visura). Dipendenti: n.d. Tel: 02 92108704 (verificato). Email: (modulo sito). Contatto: soci Garoli/Pagano. Copre Cernusco s/N, Pioltello, Segrate, Vimodrone, Carugate, Agrate Brianza, Vimercate, Gorgonzola, Melzo, Pozzuolo Martesana.</t>
  </si>
  <si>
    <t xml:space="preserve">Dentro Il Sole S.r.l.</t>
  </si>
  <si>
    <t xml:space="preserve">Via Giuseppe Parini 96, Gorgonzola (MI)</t>
  </si>
  <si>
    <t xml:space="preserve">Servizi: installazione FV + manutenzione/riparazione + coperture/amianto (pulizia da confermare). Fatturato: 3-6 mln EUR (2023). Dipendenti: n.d. Tel: 02 94435188 (verificato). Email: n.d. (no email pubblica; visura). Sito: non presente. P.IVA 06165480960.</t>
  </si>
  <si>
    <t xml:space="preserve">n.d. (azienda senza sito)</t>
  </si>
  <si>
    <t xml:space="preserve">D.M.L. Idee (Impianti Fotovoltaici)</t>
  </si>
  <si>
    <t xml:space="preserve">Via Teruzzi 46, Brugherio (MB)</t>
  </si>
  <si>
    <t xml:space="preserve">Servizi: installazione FV + accumulo + sostituzione inverter + assistenza (pulizia da confermare). Fatturato: n.d. (richiedere visura). Dipendenti: n.d. Tel: 039 2242708 (verificato). Email: info@dmlidee.com (verificata). Copre Brugherio/Monza/Milano. (sostituisce 'Euroimpianti', omonimi non verificabili).</t>
  </si>
  <si>
    <t xml:space="preserve">Zd Mechatronics S.r.l.</t>
  </si>
  <si>
    <t xml:space="preserve">Via Ticino 30, Gorgonzola (MI)</t>
  </si>
  <si>
    <t xml:space="preserve">Servizi: elettronica/automazioni; per il FV accumulo + installazione/manutenzione + DiCo/DiRi (FV NON core; pulizia non dichiarata). Fatturato: n.d. (richiedere visura). Dipendenti: 6-10. Tel: 02 95746283 (verificato). Email: via form sito. P.IVA 05301370960.</t>
  </si>
  <si>
    <t xml:space="preserve">Petalo S.r.l.</t>
  </si>
  <si>
    <t xml:space="preserve">Via Gorizia 38, Osnago (LC)</t>
  </si>
  <si>
    <t xml:space="preserve">Servizi: installazione FV + solare termico + monitoraggio + manutenzione + lavaggio pannelli + coperture/amianto (studio di ingegneria, dal 2009). Fatturato: n.d. (richiedere visura). Dipendenti: n.d. Tel: 039 2262423 (verificato). Email: info@petalo.net (verificata). Opera su LC/MI/MB/BG/CO/Busto Arsizio/Pavia (incl. Magentino).</t>
  </si>
  <si>
    <t xml:space="preserve">Intech Group S.r.l.</t>
  </si>
  <si>
    <t xml:space="preserve">Via Guido Reni 4, Busto Garolfo (MI)</t>
  </si>
  <si>
    <t xml:space="preserve">Servizi: installazione + manutenzione impianti elettrici/industriali + fotovoltaico + riscaldamento + videosorveglianza (pulizia da confermare; oltre 10 anni). Fatturato: 1,5-3 mln EUR (2020). Dipendenti: n.d. Tel: 0331 561021 (verificato). Email: a.bottini@intechgroup.eu (verificata). Contatto: Bottini. P.IVA 04987300961.</t>
  </si>
  <si>
    <t xml:space="preserve">EMV Group</t>
  </si>
  <si>
    <t xml:space="preserve">Via Bergamo 25, Lainate (MI)</t>
  </si>
  <si>
    <t xml:space="preserve">Servizi: impianti tecnologici - fotovoltaico (progettazione/posa/collaudo/riparazione), elettrico, termoidraulico, antincendio, cogenerazione (pulizia da confermare). Fatturato: n.d. (richiedere visura). Dipendenti: n.d. Tel: 02 93571759 (verificato). Email: via form sito. P.IVA 12193520157.</t>
  </si>
  <si>
    <t xml:space="preserve">Tecnoelettrica Bragoni</t>
  </si>
  <si>
    <t xml:space="preserve">Corbetta (MI)</t>
  </si>
  <si>
    <t xml:space="preserve">Servizi: installazione FV + sistemi storage + gestione pratiche GSE e Portale Produttori Enel + test interfacce CEI 0-21 (pulizia da confermare). Fatturato: n.d. (richiedere visura). Dipendenti: n.d. Tel: 02 9243936 (verificato). Email: via pagina contatti sito. Copre Corbetta e Magentino. (sostituisce 'Davom').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</si>
</sst>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6" min="6" style="0" width="100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5.05" hidden="false" customHeight="false" outlineLevel="0" collapsed="false">
      <c r="A2" s="2" t="n">
        <v>1</v>
      </c>
      <c r="B2" s="2" t="s">
        <v>7</v>
      </c>
      <c r="C2" s="2" t="s">
        <v>8</v>
      </c>
      <c r="D2" s="3" t="n">
        <v>45.575</v>
      </c>
      <c r="E2" s="3" t="n">
        <v>9.768</v>
      </c>
      <c r="F2" s="2" t="s">
        <v>9</v>
      </c>
      <c r="G2" s="4" t="str">
        <f aca="false">HYPERLINK("https://www.krkenergyservice.com","https://www.krkenergyservice.com")</f>
        <v>https://www.krkenergyservice.com</v>
      </c>
    </row>
    <row r="3" customFormat="false" ht="23.85" hidden="false" customHeight="false" outlineLevel="0" collapsed="false">
      <c r="A3" s="2" t="n">
        <v>2</v>
      </c>
      <c r="B3" s="2" t="s">
        <v>10</v>
      </c>
      <c r="C3" s="2" t="s">
        <v>11</v>
      </c>
      <c r="D3" s="3" t="n">
        <v>45.575</v>
      </c>
      <c r="E3" s="3" t="n">
        <v>8.925</v>
      </c>
      <c r="F3" s="2" t="s">
        <v>12</v>
      </c>
      <c r="G3" s="4" t="str">
        <f aca="false">HYPERLINK("https://www.srelettrotecnica.it","https://www.srelettrotecnica.it")</f>
        <v>https://www.srelettrotecnica.it</v>
      </c>
    </row>
    <row r="4" customFormat="false" ht="35.05" hidden="false" customHeight="false" outlineLevel="0" collapsed="false">
      <c r="A4" s="2" t="n">
        <v>3</v>
      </c>
      <c r="B4" s="2" t="s">
        <v>13</v>
      </c>
      <c r="C4" s="2" t="s">
        <v>14</v>
      </c>
      <c r="D4" s="3" t="n">
        <v>45.611</v>
      </c>
      <c r="E4" s="3" t="n">
        <v>8.849</v>
      </c>
      <c r="F4" s="2" t="s">
        <v>15</v>
      </c>
      <c r="G4" s="4" t="str">
        <f aca="false">HYPERLINK("https://www.energyteamimpianti.com","https://www.energyteamimpianti.com")</f>
        <v>https://www.energyteamimpianti.com</v>
      </c>
    </row>
    <row r="5" customFormat="false" ht="23.85" hidden="false" customHeight="false" outlineLevel="0" collapsed="false">
      <c r="A5" s="2" t="n">
        <v>4</v>
      </c>
      <c r="B5" s="2" t="s">
        <v>16</v>
      </c>
      <c r="C5" s="2" t="s">
        <v>17</v>
      </c>
      <c r="D5" s="3" t="n">
        <v>45.388</v>
      </c>
      <c r="E5" s="3" t="n">
        <v>12.012</v>
      </c>
      <c r="F5" s="2" t="s">
        <v>18</v>
      </c>
      <c r="G5" s="4" t="str">
        <f aca="false">HYPERLINK("https://mgimpianti.net","https://mgimpianti.net")</f>
        <v>https://mgimpianti.net</v>
      </c>
    </row>
    <row r="6" customFormat="false" ht="23.85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44.58</v>
      </c>
      <c r="E6" s="3" t="n">
        <v>11.233</v>
      </c>
      <c r="F6" s="2" t="s">
        <v>21</v>
      </c>
      <c r="G6" s="4" t="str">
        <f aca="false">HYPERLINK("https://www.greentechimpianti.com","https://www.greentechimpianti.com")</f>
        <v>https://www.greentechimpianti.com</v>
      </c>
    </row>
    <row r="7" customFormat="false" ht="35.05" hidden="false" customHeight="false" outlineLevel="0" collapsed="false">
      <c r="A7" s="2" t="n">
        <v>6</v>
      </c>
      <c r="B7" s="2" t="s">
        <v>22</v>
      </c>
      <c r="C7" s="2" t="s">
        <v>23</v>
      </c>
      <c r="D7" s="3" t="n">
        <v>45.787</v>
      </c>
      <c r="E7" s="3" t="n">
        <v>9.27</v>
      </c>
      <c r="F7" s="2" t="s">
        <v>24</v>
      </c>
      <c r="G7" s="4" t="str">
        <f aca="false">HYPERLINK("https://www.elettricarogeno.it","https://www.elettricarogeno.it")</f>
        <v>https://www.elettricarogeno.it</v>
      </c>
    </row>
    <row r="8" customFormat="false" ht="23.85" hidden="false" customHeight="false" outlineLevel="0" collapsed="false">
      <c r="A8" s="2" t="n">
        <v>7</v>
      </c>
      <c r="B8" s="2" t="s">
        <v>25</v>
      </c>
      <c r="C8" s="2" t="s">
        <v>26</v>
      </c>
      <c r="D8" s="3" t="n">
        <v>40.387</v>
      </c>
      <c r="E8" s="3" t="n">
        <v>18.012</v>
      </c>
      <c r="F8" s="2" t="s">
        <v>27</v>
      </c>
      <c r="G8" s="4" t="str">
        <f aca="false">HYPERLINK("https://www.gr-energy.it","https://www.gr-energy.it")</f>
        <v>https://www.gr-energy.it</v>
      </c>
    </row>
    <row r="9" customFormat="false" ht="23.85" hidden="false" customHeight="false" outlineLevel="0" collapsed="false">
      <c r="A9" s="2" t="n">
        <v>8</v>
      </c>
      <c r="B9" s="2" t="s">
        <v>28</v>
      </c>
      <c r="C9" s="2" t="s">
        <v>29</v>
      </c>
      <c r="D9" s="3" t="n">
        <v>40.352</v>
      </c>
      <c r="E9" s="3" t="n">
        <v>18.17</v>
      </c>
      <c r="F9" s="2" t="s">
        <v>30</v>
      </c>
      <c r="G9" s="4" t="str">
        <f aca="false">HYPERLINK("https://www.qesco.it","https://www.qesco.it")</f>
        <v>https://www.qesco.it</v>
      </c>
    </row>
    <row r="10" customFormat="false" ht="23.85" hidden="false" customHeight="false" outlineLevel="0" collapsed="false">
      <c r="A10" s="2" t="n">
        <v>9</v>
      </c>
      <c r="B10" s="2" t="s">
        <v>31</v>
      </c>
      <c r="C10" s="2" t="s">
        <v>32</v>
      </c>
      <c r="D10" s="3" t="n">
        <v>40.173</v>
      </c>
      <c r="E10" s="3" t="n">
        <v>18.17</v>
      </c>
      <c r="F10" s="2" t="s">
        <v>33</v>
      </c>
      <c r="G10" s="4" t="str">
        <f aca="false">HYPERLINK("https://www.snimpianti.it","https://www.snimpianti.it")</f>
        <v>https://www.snimpianti.it</v>
      </c>
    </row>
    <row r="11" customFormat="false" ht="35.05" hidden="false" customHeight="false" outlineLevel="0" collapsed="false">
      <c r="A11" s="2" t="n">
        <v>10</v>
      </c>
      <c r="B11" s="2" t="s">
        <v>34</v>
      </c>
      <c r="C11" s="2" t="s">
        <v>35</v>
      </c>
      <c r="D11" s="3" t="n">
        <v>39.601</v>
      </c>
      <c r="E11" s="3" t="n">
        <v>16.518</v>
      </c>
      <c r="F11" s="2" t="s">
        <v>36</v>
      </c>
      <c r="G11" s="4" t="str">
        <f aca="false">HYPERLINK("https://www.romeogroup.it","https://www.romeogroup.it")</f>
        <v>https://www.romeogroup.it</v>
      </c>
    </row>
    <row r="12" customFormat="false" ht="23.85" hidden="false" customHeight="false" outlineLevel="0" collapsed="false">
      <c r="A12" s="2" t="n">
        <v>11</v>
      </c>
      <c r="B12" s="2" t="s">
        <v>37</v>
      </c>
      <c r="C12" s="2" t="s">
        <v>38</v>
      </c>
      <c r="D12" s="3" t="n">
        <v>39.298</v>
      </c>
      <c r="E12" s="3" t="n">
        <v>16.254</v>
      </c>
      <c r="F12" s="2" t="s">
        <v>39</v>
      </c>
      <c r="G12" s="4" t="str">
        <f aca="false">HYPERLINK("https://www.enersolare.net","https://www.enersolare.net")</f>
        <v>https://www.enersolare.net</v>
      </c>
    </row>
    <row r="13" customFormat="false" ht="23.85" hidden="false" customHeight="false" outlineLevel="0" collapsed="false">
      <c r="A13" s="2" t="n">
        <v>12</v>
      </c>
      <c r="B13" s="2" t="s">
        <v>40</v>
      </c>
      <c r="C13" s="2" t="s">
        <v>41</v>
      </c>
      <c r="D13" s="3" t="n">
        <v>42.763</v>
      </c>
      <c r="E13" s="3" t="n">
        <v>11.113</v>
      </c>
      <c r="F13" s="2" t="s">
        <v>42</v>
      </c>
      <c r="G13" s="4" t="str">
        <f aca="false">HYPERLINK("https://www.puntoclimagr.it","https://www.puntoclimagr.it")</f>
        <v>https://www.puntoclimagr.it</v>
      </c>
    </row>
    <row r="14" customFormat="false" ht="23.85" hidden="false" customHeight="false" outlineLevel="0" collapsed="false">
      <c r="A14" s="2" t="n">
        <v>13</v>
      </c>
      <c r="B14" s="2" t="s">
        <v>43</v>
      </c>
      <c r="C14" s="2" t="s">
        <v>44</v>
      </c>
      <c r="D14" s="3"/>
      <c r="E14" s="3"/>
      <c r="F14" s="2" t="s">
        <v>45</v>
      </c>
      <c r="G14" s="4" t="str">
        <f aca="false">HYPERLINK("https://www.grimaldienergia.com","https://www.grimaldienergia.com")</f>
        <v>https://www.grimaldienergia.com</v>
      </c>
    </row>
    <row r="15" customFormat="false" ht="35.05" hidden="false" customHeight="false" outlineLevel="0" collapsed="false">
      <c r="A15" s="2" t="n">
        <v>14</v>
      </c>
      <c r="B15" s="2" t="s">
        <v>46</v>
      </c>
      <c r="C15" s="2" t="s">
        <v>47</v>
      </c>
      <c r="D15" s="3" t="n">
        <v>45.575</v>
      </c>
      <c r="E15" s="3" t="n">
        <v>9.918</v>
      </c>
      <c r="F15" s="2" t="s">
        <v>48</v>
      </c>
      <c r="G15" s="4" t="str">
        <f aca="false">HYPERLINK("https://www.gruppomossali.com","https://www.gruppomossali.com")</f>
        <v>https://www.gruppomossali.com</v>
      </c>
    </row>
    <row r="16" customFormat="false" ht="23.85" hidden="false" customHeight="false" outlineLevel="0" collapsed="false">
      <c r="A16" s="2" t="n">
        <v>15</v>
      </c>
      <c r="B16" s="2" t="s">
        <v>49</v>
      </c>
      <c r="C16" s="2" t="s">
        <v>50</v>
      </c>
      <c r="D16" s="3" t="n">
        <v>45.409</v>
      </c>
      <c r="E16" s="3" t="n">
        <v>9.268</v>
      </c>
      <c r="F16" s="2" t="s">
        <v>51</v>
      </c>
      <c r="G16" s="4" t="str">
        <f aca="false">HYPERLINK("https://www.myenergy.it","https://www.myenergy.it")</f>
        <v>https://www.myenergy.it</v>
      </c>
    </row>
    <row r="17" customFormat="false" ht="35.05" hidden="false" customHeight="false" outlineLevel="0" collapsed="false">
      <c r="A17" s="2" t="n">
        <v>16</v>
      </c>
      <c r="B17" s="2" t="s">
        <v>52</v>
      </c>
      <c r="C17" s="2" t="s">
        <v>53</v>
      </c>
      <c r="D17" s="3" t="n">
        <v>45.658</v>
      </c>
      <c r="E17" s="3" t="n">
        <v>9.652</v>
      </c>
      <c r="F17" s="2" t="s">
        <v>54</v>
      </c>
      <c r="G17" s="4" t="str">
        <f aca="false">HYPERLINK("https://www.corna.it","https://www.corna.it")</f>
        <v>https://www.corna.it</v>
      </c>
    </row>
    <row r="18" customFormat="false" ht="35.05" hidden="false" customHeight="false" outlineLevel="0" collapsed="false">
      <c r="A18" s="2" t="n">
        <v>17</v>
      </c>
      <c r="B18" s="2" t="s">
        <v>55</v>
      </c>
      <c r="C18" s="2" t="s">
        <v>56</v>
      </c>
      <c r="D18" s="3" t="n">
        <v>45.542</v>
      </c>
      <c r="E18" s="3" t="n">
        <v>8.887</v>
      </c>
      <c r="F18" s="2" t="s">
        <v>57</v>
      </c>
      <c r="G18" s="4" t="str">
        <f aca="false">HYPERLINK("https://elettromerlotti.it","https://elettromerlotti.it")</f>
        <v>https://elettromerlotti.it</v>
      </c>
    </row>
    <row r="19" customFormat="false" ht="23.85" hidden="false" customHeight="false" outlineLevel="0" collapsed="false">
      <c r="A19" s="2" t="n">
        <v>18</v>
      </c>
      <c r="B19" s="2" t="s">
        <v>58</v>
      </c>
      <c r="C19" s="2" t="s">
        <v>59</v>
      </c>
      <c r="D19" s="3" t="n">
        <v>45.41</v>
      </c>
      <c r="E19" s="3" t="n">
        <v>11.88</v>
      </c>
      <c r="F19" s="2" t="s">
        <v>60</v>
      </c>
      <c r="G19" s="4" t="str">
        <f aca="false">HYPERLINK("https://veneco.it","https://veneco.it")</f>
        <v>https://veneco.it</v>
      </c>
    </row>
    <row r="20" customFormat="false" ht="23.85" hidden="false" customHeight="false" outlineLevel="0" collapsed="false">
      <c r="A20" s="2" t="n">
        <v>19</v>
      </c>
      <c r="B20" s="2" t="s">
        <v>61</v>
      </c>
      <c r="C20" s="2" t="s">
        <v>62</v>
      </c>
      <c r="D20" s="3" t="n">
        <v>45.41</v>
      </c>
      <c r="E20" s="3" t="n">
        <v>11.85</v>
      </c>
      <c r="F20" s="2" t="s">
        <v>63</v>
      </c>
      <c r="G20" s="4" t="str">
        <f aca="false">HYPERLINK("https://www.munarigroup.it","https://www.munarigroup.it")</f>
        <v>https://www.munarigroup.it</v>
      </c>
    </row>
    <row r="21" customFormat="false" ht="23.85" hidden="false" customHeight="false" outlineLevel="0" collapsed="false">
      <c r="A21" s="2" t="n">
        <v>20</v>
      </c>
      <c r="B21" s="2" t="s">
        <v>64</v>
      </c>
      <c r="C21" s="2" t="s">
        <v>65</v>
      </c>
      <c r="D21" s="3" t="n">
        <v>45.4</v>
      </c>
      <c r="E21" s="3" t="n">
        <v>12</v>
      </c>
      <c r="F21" s="2" t="s">
        <v>66</v>
      </c>
      <c r="G21" s="4" t="str">
        <f aca="false">HYPERLINK("https://www.zrimpianti.it","https://www.zrimpianti.it")</f>
        <v>https://www.zrimpianti.it</v>
      </c>
    </row>
    <row r="22" customFormat="false" ht="23.85" hidden="false" customHeight="false" outlineLevel="0" collapsed="false">
      <c r="A22" s="2" t="n">
        <v>21</v>
      </c>
      <c r="B22" s="2" t="s">
        <v>67</v>
      </c>
      <c r="C22" s="2" t="s">
        <v>68</v>
      </c>
      <c r="D22" s="3" t="n">
        <v>44.5</v>
      </c>
      <c r="E22" s="3" t="n">
        <v>11.34</v>
      </c>
      <c r="F22" s="2" t="s">
        <v>69</v>
      </c>
      <c r="G22" s="4" t="str">
        <f aca="false">HYPERLINK("https://www.fineagroup.it","https://www.fineagroup.it")</f>
        <v>https://www.fineagroup.it</v>
      </c>
    </row>
    <row r="23" customFormat="false" ht="23.85" hidden="false" customHeight="false" outlineLevel="0" collapsed="false">
      <c r="A23" s="2" t="n">
        <v>22</v>
      </c>
      <c r="B23" s="2" t="s">
        <v>70</v>
      </c>
      <c r="C23" s="2" t="s">
        <v>71</v>
      </c>
      <c r="D23" s="3" t="n">
        <v>44.49</v>
      </c>
      <c r="E23" s="3" t="n">
        <v>11.34</v>
      </c>
      <c r="F23" s="2" t="s">
        <v>72</v>
      </c>
      <c r="G23" s="4" t="str">
        <f aca="false">HYPERLINK("https://www.impianti-elettrici-fotovoltaici.it","https://www.impianti-elettrici-fotovoltaici.it")</f>
        <v>https://www.impianti-elettrici-fotovoltaici.it</v>
      </c>
    </row>
    <row r="24" customFormat="false" ht="35.05" hidden="false" customHeight="false" outlineLevel="0" collapsed="false">
      <c r="A24" s="2" t="n">
        <v>23</v>
      </c>
      <c r="B24" s="2" t="s">
        <v>73</v>
      </c>
      <c r="C24" s="2" t="s">
        <v>74</v>
      </c>
      <c r="D24" s="3" t="n">
        <v>45.186</v>
      </c>
      <c r="E24" s="3" t="n">
        <v>8.101</v>
      </c>
      <c r="F24" s="2" t="s">
        <v>75</v>
      </c>
      <c r="G24" s="4" t="str">
        <f aca="false">HYPERLINK("https://www.azzoniimpianti.it","https://www.azzoniimpianti.it")</f>
        <v>https://www.azzoniimpianti.it</v>
      </c>
    </row>
    <row r="25" customFormat="false" ht="23.85" hidden="false" customHeight="false" outlineLevel="0" collapsed="false">
      <c r="A25" s="2" t="n">
        <v>24</v>
      </c>
      <c r="B25" s="2" t="s">
        <v>76</v>
      </c>
      <c r="C25" s="2" t="s">
        <v>77</v>
      </c>
      <c r="D25" s="3" t="n">
        <v>45.321</v>
      </c>
      <c r="E25" s="3" t="n">
        <v>8.418</v>
      </c>
      <c r="F25" s="2" t="s">
        <v>78</v>
      </c>
      <c r="G25" s="4" t="str">
        <f aca="false">HYPERLINK("https://www.energieitaliane.info","https://www.energieitaliane.info")</f>
        <v>https://www.energieitaliane.info</v>
      </c>
    </row>
    <row r="26" customFormat="false" ht="23.85" hidden="false" customHeight="false" outlineLevel="0" collapsed="false">
      <c r="A26" s="2" t="n">
        <v>25</v>
      </c>
      <c r="B26" s="2" t="s">
        <v>79</v>
      </c>
      <c r="C26" s="2" t="s">
        <v>77</v>
      </c>
      <c r="D26" s="3" t="n">
        <v>45.3215</v>
      </c>
      <c r="E26" s="3" t="n">
        <v>8.4185</v>
      </c>
      <c r="F26" s="2" t="s">
        <v>80</v>
      </c>
      <c r="G26" s="4" t="str">
        <f aca="false">HYPERLINK("https://www.valoresolare.it","https://www.valoresolare.it")</f>
        <v>https://www.valoresolare.it</v>
      </c>
    </row>
    <row r="27" customFormat="false" ht="23.85" hidden="false" customHeight="false" outlineLevel="0" collapsed="false">
      <c r="A27" s="2" t="n">
        <v>26</v>
      </c>
      <c r="B27" s="2" t="s">
        <v>81</v>
      </c>
      <c r="C27" s="2" t="s">
        <v>41</v>
      </c>
      <c r="D27" s="3" t="n">
        <v>42.7635</v>
      </c>
      <c r="E27" s="3" t="n">
        <v>11.1135</v>
      </c>
      <c r="F27" s="2" t="s">
        <v>82</v>
      </c>
      <c r="G27" s="4" t="str">
        <f aca="false">HYPERLINK("https://energyimpiantigrosseto.it","https://energyimpiantigrosseto.it")</f>
        <v>https://energyimpiantigrosseto.it</v>
      </c>
    </row>
    <row r="28" customFormat="false" ht="23.85" hidden="false" customHeight="false" outlineLevel="0" collapsed="false">
      <c r="A28" s="2" t="n">
        <v>27</v>
      </c>
      <c r="B28" s="2" t="s">
        <v>83</v>
      </c>
      <c r="C28" s="2" t="s">
        <v>41</v>
      </c>
      <c r="D28" s="3" t="n">
        <v>42.7625</v>
      </c>
      <c r="E28" s="3" t="n">
        <v>11.1125</v>
      </c>
      <c r="F28" s="2" t="s">
        <v>84</v>
      </c>
      <c r="G28" s="4" t="str">
        <f aca="false">HYPERLINK("https://nsgroup.it","https://nsgroup.it")</f>
        <v>https://nsgroup.it</v>
      </c>
    </row>
    <row r="29" customFormat="false" ht="23.85" hidden="false" customHeight="false" outlineLevel="0" collapsed="false">
      <c r="A29" s="2" t="n">
        <v>28</v>
      </c>
      <c r="B29" s="2" t="s">
        <v>85</v>
      </c>
      <c r="C29" s="2" t="s">
        <v>41</v>
      </c>
      <c r="D29" s="3" t="n">
        <v>42.764</v>
      </c>
      <c r="E29" s="3" t="n">
        <v>11.114</v>
      </c>
      <c r="F29" s="2" t="s">
        <v>86</v>
      </c>
      <c r="G29" s="4" t="str">
        <f aca="false">HYPERLINK("https://www.fbcitalia.it","https://www.fbcitalia.it")</f>
        <v>https://www.fbcitalia.it</v>
      </c>
    </row>
    <row r="30" customFormat="false" ht="35.05" hidden="false" customHeight="false" outlineLevel="0" collapsed="false">
      <c r="A30" s="2" t="n">
        <v>29</v>
      </c>
      <c r="B30" s="2" t="s">
        <v>87</v>
      </c>
      <c r="C30" s="2" t="s">
        <v>88</v>
      </c>
      <c r="D30" s="3" t="n">
        <v>45.523</v>
      </c>
      <c r="E30" s="3" t="n">
        <v>9.334</v>
      </c>
      <c r="F30" s="2" t="s">
        <v>89</v>
      </c>
      <c r="G30" s="4" t="str">
        <f aca="false">HYPERLINK("https://www.emmeessesolar.it","https://www.emmeessesolar.it")</f>
        <v>https://www.emmeessesolar.it</v>
      </c>
    </row>
    <row r="31" customFormat="false" ht="23.85" hidden="false" customHeight="false" outlineLevel="0" collapsed="false">
      <c r="A31" s="2" t="n">
        <v>30</v>
      </c>
      <c r="B31" s="2" t="s">
        <v>90</v>
      </c>
      <c r="C31" s="2" t="s">
        <v>91</v>
      </c>
      <c r="D31" s="3" t="n">
        <v>45.532</v>
      </c>
      <c r="E31" s="3" t="n">
        <v>9.403</v>
      </c>
      <c r="F31" s="2" t="s">
        <v>92</v>
      </c>
      <c r="G31" s="2" t="s">
        <v>93</v>
      </c>
    </row>
    <row r="32" customFormat="false" ht="35.05" hidden="false" customHeight="false" outlineLevel="0" collapsed="false">
      <c r="A32" s="2" t="n">
        <v>31</v>
      </c>
      <c r="B32" s="2" t="s">
        <v>94</v>
      </c>
      <c r="C32" s="2" t="s">
        <v>95</v>
      </c>
      <c r="D32" s="3" t="n">
        <v>45.553</v>
      </c>
      <c r="E32" s="3" t="n">
        <v>9.288</v>
      </c>
      <c r="F32" s="2" t="s">
        <v>96</v>
      </c>
      <c r="G32" s="4" t="str">
        <f aca="false">HYPERLINK("https://www.dmlidee.com","https://www.dmlidee.com")</f>
        <v>https://www.dmlidee.com</v>
      </c>
    </row>
    <row r="33" customFormat="false" ht="23.85" hidden="false" customHeight="false" outlineLevel="0" collapsed="false">
      <c r="A33" s="2" t="n">
        <v>32</v>
      </c>
      <c r="B33" s="2" t="s">
        <v>97</v>
      </c>
      <c r="C33" s="2" t="s">
        <v>98</v>
      </c>
      <c r="D33" s="3" t="n">
        <v>45.5374</v>
      </c>
      <c r="E33" s="3" t="n">
        <v>9.4028</v>
      </c>
      <c r="F33" s="2" t="s">
        <v>99</v>
      </c>
      <c r="G33" s="4" t="str">
        <f aca="false">HYPERLINK("https://www.zdmechatronics.it","https://www.zdmechatronics.it")</f>
        <v>https://www.zdmechatronics.it</v>
      </c>
    </row>
    <row r="34" customFormat="false" ht="35.05" hidden="false" customHeight="false" outlineLevel="0" collapsed="false">
      <c r="A34" s="2" t="n">
        <v>33</v>
      </c>
      <c r="B34" s="2" t="s">
        <v>100</v>
      </c>
      <c r="C34" s="2" t="s">
        <v>101</v>
      </c>
      <c r="D34" s="3" t="n">
        <v>45.679</v>
      </c>
      <c r="E34" s="3" t="n">
        <v>9.387</v>
      </c>
      <c r="F34" s="2" t="s">
        <v>102</v>
      </c>
      <c r="G34" s="4" t="str">
        <f aca="false">HYPERLINK("https://www.petalo.net","https://www.petalo.net")</f>
        <v>https://www.petalo.net</v>
      </c>
    </row>
    <row r="35" customFormat="false" ht="35.05" hidden="false" customHeight="false" outlineLevel="0" collapsed="false">
      <c r="A35" s="2" t="n">
        <v>34</v>
      </c>
      <c r="B35" s="2" t="s">
        <v>103</v>
      </c>
      <c r="C35" s="2" t="s">
        <v>104</v>
      </c>
      <c r="D35" s="3" t="n">
        <v>45.5486</v>
      </c>
      <c r="E35" s="3" t="n">
        <v>8.8735</v>
      </c>
      <c r="F35" s="2" t="s">
        <v>105</v>
      </c>
      <c r="G35" s="4" t="str">
        <f aca="false">HYPERLINK("https://www.intechgroup.eu","https://www.intechgroup.eu")</f>
        <v>https://www.intechgroup.eu</v>
      </c>
    </row>
    <row r="36" customFormat="false" ht="35.05" hidden="false" customHeight="false" outlineLevel="0" collapsed="false">
      <c r="A36" s="2" t="n">
        <v>35</v>
      </c>
      <c r="B36" s="2" t="s">
        <v>106</v>
      </c>
      <c r="C36" s="2" t="s">
        <v>107</v>
      </c>
      <c r="D36" s="3" t="n">
        <v>45.571</v>
      </c>
      <c r="E36" s="3" t="n">
        <v>9.027</v>
      </c>
      <c r="F36" s="2" t="s">
        <v>108</v>
      </c>
      <c r="G36" s="4" t="str">
        <f aca="false">HYPERLINK("https://www.emvgroup.eu","https://www.emvgroup.eu")</f>
        <v>https://www.emvgroup.eu</v>
      </c>
    </row>
    <row r="37" customFormat="false" ht="35.05" hidden="false" customHeight="false" outlineLevel="0" collapsed="false">
      <c r="A37" s="2" t="n">
        <v>36</v>
      </c>
      <c r="B37" s="2" t="s">
        <v>109</v>
      </c>
      <c r="C37" s="2" t="s">
        <v>110</v>
      </c>
      <c r="D37" s="3" t="n">
        <v>45.469</v>
      </c>
      <c r="E37" s="3" t="n">
        <v>8.917</v>
      </c>
      <c r="F37" s="2" t="s">
        <v>111</v>
      </c>
      <c r="G37" s="4" t="str">
        <f aca="false">HYPERLINK("https://www.bragoni.com","https://www.bragoni.com")</f>
        <v>https://www.bragoni.com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2026-06-08T13:38:48Z</dcterms:created>
  <dc:creator>openpyxl</dc:creator>
  <dc:description/>
  <dc:language>en-US</dc:language>
  <cp:lastModifiedBy/>
  <dcterms:modified xsi:type="dcterms:W3CDTF">2026-06-08T13:38:48Z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