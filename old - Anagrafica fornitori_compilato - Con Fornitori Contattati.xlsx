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Il mio Drive\- EPS\EPS_Mappa_Impianti\"/>
    </mc:Choice>
  </mc:AlternateContent>
  <xr:revisionPtr revIDLastSave="0" documentId="13_ncr:1_{6D45ECB3-2E19-44B0-8B28-D4CAF1EFACB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ornitori_compilato - Con Forni" sheetId="1" r:id="rId1"/>
  </sheets>
  <definedNames>
    <definedName name="_xlnm._FilterDatabase" localSheetId="0" hidden="1">'fornitori_compilato - Con Forni'!$A$1:$P$47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7" i="1" l="1"/>
  <c r="L17" i="1"/>
  <c r="L14" i="1"/>
  <c r="L10" i="1"/>
  <c r="L13" i="1"/>
  <c r="L19" i="1"/>
  <c r="L16" i="1"/>
  <c r="L15" i="1"/>
  <c r="L12" i="1"/>
  <c r="L42" i="1"/>
  <c r="L41" i="1"/>
  <c r="L40" i="1"/>
  <c r="L39" i="1"/>
  <c r="L38" i="1"/>
  <c r="L37" i="1"/>
  <c r="L35" i="1"/>
  <c r="L30" i="1"/>
  <c r="L29" i="1"/>
  <c r="L28" i="1"/>
  <c r="L23" i="1"/>
  <c r="L18" i="1"/>
  <c r="L43" i="1"/>
  <c r="L4" i="1"/>
  <c r="L3" i="1"/>
  <c r="L46" i="1"/>
  <c r="L11" i="1"/>
  <c r="L45" i="1"/>
  <c r="L34" i="1"/>
  <c r="L33" i="1"/>
  <c r="L32" i="1"/>
  <c r="L31" i="1"/>
  <c r="L22" i="1"/>
  <c r="L27" i="1"/>
  <c r="L21" i="1"/>
  <c r="L20" i="1"/>
  <c r="L26" i="1"/>
  <c r="L25" i="1"/>
  <c r="L24" i="1"/>
  <c r="L8" i="1"/>
  <c r="L2" i="1"/>
  <c r="L44" i="1"/>
  <c r="L7" i="1"/>
  <c r="L6" i="1"/>
  <c r="L5" i="1"/>
</calcChain>
</file>

<file path=xl/sharedStrings.xml><?xml version="1.0" encoding="utf-8"?>
<sst xmlns="http://schemas.openxmlformats.org/spreadsheetml/2006/main" count="454" uniqueCount="313">
  <si>
    <t>id</t>
  </si>
  <si>
    <t>nome</t>
  </si>
  <si>
    <t>indirizzo</t>
  </si>
  <si>
    <t>lat</t>
  </si>
  <si>
    <t>lng</t>
  </si>
  <si>
    <t>tel</t>
  </si>
  <si>
    <t>email</t>
  </si>
  <si>
    <t>note</t>
  </si>
  <si>
    <t>sito_web</t>
  </si>
  <si>
    <t>Regione</t>
  </si>
  <si>
    <t>Provincia</t>
  </si>
  <si>
    <t>Comune</t>
  </si>
  <si>
    <t>Email</t>
  </si>
  <si>
    <t>Telefono</t>
  </si>
  <si>
    <t>KRK Energy Service S.r.l.</t>
  </si>
  <si>
    <t>Via Prefabbricati snc, Martinengo (BG)</t>
  </si>
  <si>
    <t>0363 1591034 (verificato)</t>
  </si>
  <si>
    <t>info@krkenergyservice.com</t>
  </si>
  <si>
    <t>NORD ITALIA — Servizi: installazione + manutenzione (ord./straord.) + pulizia pannelli + termografia. Fatturato: n.d. (richiedere visura). Dipendenti: n.d. Contatto: ufficio tecnico-commerciale (nome non disponibile).</t>
  </si>
  <si>
    <t>Lombardia</t>
  </si>
  <si>
    <t>BG</t>
  </si>
  <si>
    <t>Martinengo</t>
  </si>
  <si>
    <t>0363 1591034</t>
  </si>
  <si>
    <t>SR Elettrotecnica</t>
  </si>
  <si>
    <t>Largo Sant'Angelo 9, Canegrate (MI)</t>
  </si>
  <si>
    <t>351 3729093 (verificato)</t>
  </si>
  <si>
    <t>info@srelettrotecnica.it</t>
  </si>
  <si>
    <t>Servizi: installazione + manutenzione (ord./straord.) + pulizia pannelli. Fatturato: n.d. Dipendenti: n.d. Contatto: n.d.</t>
  </si>
  <si>
    <t>MI</t>
  </si>
  <si>
    <t>Canegrate</t>
  </si>
  <si>
    <t>351 3729093</t>
  </si>
  <si>
    <t>Energy Team S.r.l.</t>
  </si>
  <si>
    <t>Via G. Mameli 24, Busto Arsizio (VA)</t>
  </si>
  <si>
    <t>0331 324959 (verificato)</t>
  </si>
  <si>
    <t>Servizi: installazione + manutenzione + pulizia pannelli + controllo inverter. Fatturato: n.d. Dipendenti: n.d. Contatto: n.d. NB: S.r.l. termotecnica di Busto Arsizio; verificare non sia omonima societa di monitoraggio.</t>
  </si>
  <si>
    <t>VA</t>
  </si>
  <si>
    <t>Busto Arsizio</t>
  </si>
  <si>
    <t>0331 324959</t>
  </si>
  <si>
    <t>MG Impianti S.r.l.</t>
  </si>
  <si>
    <t>Celeseo di Vigonovo (VE)</t>
  </si>
  <si>
    <t>049 9790651 (verificato)</t>
  </si>
  <si>
    <t>Servizi: installazione + O&amp;M (verifiche programmate + pronto intervento). Qualifica FER, norme CEI. Dal 1999, 1500+ progetti. Fatturato: n.d. Dipendenti: n.d. Contatto: ufficio commerciale.</t>
  </si>
  <si>
    <t>Veneto</t>
  </si>
  <si>
    <t>VE</t>
  </si>
  <si>
    <t>Vigonovo</t>
  </si>
  <si>
    <t>049 9790651</t>
  </si>
  <si>
    <t>Greentech Impianti S.r.l.</t>
  </si>
  <si>
    <t>Via Persicetana 20, Sala Bolognese (BO)</t>
  </si>
  <si>
    <t>051 6814567 (verificato)</t>
  </si>
  <si>
    <t>info@greentechimpianti.com</t>
  </si>
  <si>
    <t>Servizi: installazione FV industriale + O&amp;M (1-2 visite/anno + teleassistenza) + lavaggio moduli. REA BO-478747, cap.soc. 20.000 EUR. Fatturato: n.d. Dipendenti: n.d. Contatto: ufficio tecnico.</t>
  </si>
  <si>
    <t>Emilia-Romagna</t>
  </si>
  <si>
    <t>BO</t>
  </si>
  <si>
    <t>Sala Bolognese</t>
  </si>
  <si>
    <t>051 6814567</t>
  </si>
  <si>
    <t>Elettrica Rogeno S.r.l.</t>
  </si>
  <si>
    <t>Via Calvenzana Inferiore 17, Rogeno (LC)</t>
  </si>
  <si>
    <t>031 876147 (verificato)</t>
  </si>
  <si>
    <t>info@elettricarogeno.it</t>
  </si>
  <si>
    <t>NORD ITALIA — Servizi: installazione FV + accumulo + verifiche tecniche/manutenzione (pulizia da confermare; dal 1999). Fatturato: n.d. (richiedere visura). Dipendenti: n.d. Contatti: Mario Corti (AD), Cristian Malavasi (DG). Copre Lombardia/Piemonte(VC)/Veneto/Emilia.</t>
  </si>
  <si>
    <t>LC</t>
  </si>
  <si>
    <t>Rogeno</t>
  </si>
  <si>
    <t>031 876147</t>
  </si>
  <si>
    <t>GR Energy S.r.l.</t>
  </si>
  <si>
    <t>Via Nino di Palma 2, Campi Salentina (LE)</t>
  </si>
  <si>
    <t>info@gr-energy.it</t>
  </si>
  <si>
    <t>Servizi: installazione + O&amp;M anche su impianti di terzi + lavaggio moduli + cura del verde + telecontrollo. P.IVA 04339690754. Fatturato: n.d. Dipendenti: n.d. Contatto: ufficio O&amp;M.</t>
  </si>
  <si>
    <t>Puglia</t>
  </si>
  <si>
    <t>LE</t>
  </si>
  <si>
    <t>Campi Salentina</t>
  </si>
  <si>
    <t>Qesco S.r.l.</t>
  </si>
  <si>
    <t>Lecce (LE)</t>
  </si>
  <si>
    <t>Servizi: installazione + manutenzione 'tutto incluso' (pannelli, inverter, componenti). Copre LE/BR/TA. Fatturato: n.d. Dipendenti: n.d. Contatto: n.d.</t>
  </si>
  <si>
    <t>Lecce</t>
  </si>
  <si>
    <t>S.N. Impianti</t>
  </si>
  <si>
    <t>Galatina (LE)</t>
  </si>
  <si>
    <t>Servizi: installazione + manutenzione + pulizia, reperibilita H24. Ditta locale. Fatturato: n.d. Dipendenti: n.d. Contatto: titolare.</t>
  </si>
  <si>
    <t>Galatina</t>
  </si>
  <si>
    <t>Romeo Group - Fotovoltaica S.r.l.</t>
  </si>
  <si>
    <t>Z.I. C.da Sant'Irene, Corigliano-Rossano (CS)</t>
  </si>
  <si>
    <t>0983 565374 (verificato) (WhatsApp 347 9110013)</t>
  </si>
  <si>
    <t>segreteria@romeogroup.it</t>
  </si>
  <si>
    <t>Servizi: installazione/EPC + O&amp;M integrato + verifiche SPI. ESCo certificata (dich.), dal 1987. P.IVA 01659240780, REA CS-111767, cap.soc. 100.000 EUR. Fatturato: n.d. Dipendenti: n.d. Contatto: segreteria commerciale.</t>
  </si>
  <si>
    <t>Calabria</t>
  </si>
  <si>
    <t>CS</t>
  </si>
  <si>
    <t>Corigliano-Rossano</t>
  </si>
  <si>
    <t>0983 565374</t>
  </si>
  <si>
    <t>Enersolare</t>
  </si>
  <si>
    <t>Cosenza (CS)</t>
  </si>
  <si>
    <t>Servizi: installazione + manutenzione ord./straord. + pulizia pannelli. 5+ MW installati in zona (dich.). Fatturato: n.d. Dipendenti: n.d. Contatto: ufficio tecnico.</t>
  </si>
  <si>
    <t>Cosenza</t>
  </si>
  <si>
    <t>Punto Clima</t>
  </si>
  <si>
    <t>Grosseto (GR)</t>
  </si>
  <si>
    <t>0564 24716 / 338 3045378 (verificato)</t>
  </si>
  <si>
    <t>info@puntoclimagr.it</t>
  </si>
  <si>
    <t>Servizi: installazione/assistenza + manutenzione + pulizia pannelli. Copre GR e zona Amiata (Seggiano). Fatturato: n.d. Dipendenti: n.d. Contatto: ufficio assistenza.</t>
  </si>
  <si>
    <t>Toscana</t>
  </si>
  <si>
    <t>GR</t>
  </si>
  <si>
    <t>Grosseto</t>
  </si>
  <si>
    <t>0564 24716 / 338 3045378</t>
  </si>
  <si>
    <t>Grimaldi Energia</t>
  </si>
  <si>
    <t>Campania (sede da confermare)</t>
  </si>
  <si>
    <t>Servizi: installazione + manutenzione + pulizia + verifica cassetta prova rele (SPI). Copre SA/NA/CE/BN/AV. Fatturato: n.d. Dipendenti: n.d. Contatto: ufficio commerciale.</t>
  </si>
  <si>
    <t>Campania</t>
  </si>
  <si>
    <t>(da confermare)</t>
  </si>
  <si>
    <t>Gruppo Mossali</t>
  </si>
  <si>
    <t>Via G. di Vittorio 1, Pontoglio (BS)</t>
  </si>
  <si>
    <t>030 737097 (verificato)</t>
  </si>
  <si>
    <t>info@gruppomossali.com</t>
  </si>
  <si>
    <t>Servizi: installazione + manutenzione + pulizia moduli/inverter + termografia (anche coperture/amianto). Fatturato: n.d. (richiedere visura). Dipendenti: n.d. Contatto: uff. commerciale. Sede Pontoglio (BS); opera anche su Milano.</t>
  </si>
  <si>
    <t>BS</t>
  </si>
  <si>
    <t>Pontoglio</t>
  </si>
  <si>
    <t>030 737097</t>
  </si>
  <si>
    <t>Myenergy S.p.A.</t>
  </si>
  <si>
    <t>Via Angelo Moro 109, San Donato Milanese (MI)</t>
  </si>
  <si>
    <t>NAZIONALE — Servizi: progettazione + installazione + collaudo FV (EPC/ESCo) + manutenzione ordinaria/assistenza (pulizia da confermare). Fatturato: ~110 mln EUR (dichiarato sito). Dipendenti: ~95 (dich.). P.IVA 05528670960.</t>
  </si>
  <si>
    <t>San Donato Milanese</t>
  </si>
  <si>
    <t>Corna Impianti S.r.l.</t>
  </si>
  <si>
    <t>Via Mascagni 7/A, Stezzano (BG)</t>
  </si>
  <si>
    <t>035 4540660 (verificato)</t>
  </si>
  <si>
    <t>Servizi: progettazione/costruzione/installazione FV + impianti elettrici + manutenzione + pulizia pannelli + taratura SPI + termografia (40 anni). Fatturato: n.d. (richiedere visura). Dipendenti: n.d. P.IVA 02659580167. Copre BG/MI/BO.</t>
  </si>
  <si>
    <t>Stezzano</t>
  </si>
  <si>
    <t>035 4540660</t>
  </si>
  <si>
    <t>Elettromeccanica Merlotti S.r.l.</t>
  </si>
  <si>
    <t>Via S. Geltrude 49, Busto Garolfo (MI)</t>
  </si>
  <si>
    <t>0331 566867 (verificato)</t>
  </si>
  <si>
    <t>Servizi: installazione + manutenzione/riparazione impianti elettrici, fotovoltaici, condizionamento, domotica, videosorveglianza (pulizia da confermare; 60 anni). Fatturato: 1.581.683 EUR (2023). Dipendenti: 20-49. P.IVA 08015670154.</t>
  </si>
  <si>
    <t>Busto Garolfo</t>
  </si>
  <si>
    <t>0331 566867</t>
  </si>
  <si>
    <t>Veneco</t>
  </si>
  <si>
    <t>Padova (PD)</t>
  </si>
  <si>
    <t>049 2276410 (verificato)</t>
  </si>
  <si>
    <t>info@veneco.it</t>
  </si>
  <si>
    <t>Servizi: installazione + manutenzione/assistenza (pulizia da confermare). Fatturato: n.d. (richiedere visura). Dipendenti: n.d. Contatto: n.d. Copre PD/VE/VI/TV; oltre 10 anni.</t>
  </si>
  <si>
    <t>PD</t>
  </si>
  <si>
    <t>Padova</t>
  </si>
  <si>
    <t>049 2276410</t>
  </si>
  <si>
    <t>Munari Group S.r.l.</t>
  </si>
  <si>
    <t>Via Martiri della Liberazione 20, Carmignano di Brenta (PD)</t>
  </si>
  <si>
    <t>info@munaririnnovabili.it</t>
  </si>
  <si>
    <t>Munari Group S.r.l. - ESCo/EGE - P.IVA 04570800286 - progettazione e installazione FV (industriale, commerciale, residenziale, agrivoltaico), manutenzione, revamping, accumulo, colonnine EV. Opera PD/VI. Contatti via form/email.</t>
  </si>
  <si>
    <t>Carmignano di Brenta</t>
  </si>
  <si>
    <t>ZR di Zannin Renato S.r.l.</t>
  </si>
  <si>
    <t>Via A. Volta 2, Masera' di Padova (PD)</t>
  </si>
  <si>
    <t>049 9125525</t>
  </si>
  <si>
    <t>ZR di Zannin Renato S.r.l. - titolare Renato Zannin - P.IVA 05101470283 - fatturato 0,6-1,5 mln EUR (2024) - FV, impianti elettrici, domotica, pompe di calore, illuminazione LED. Opera PD/VE/TV/VI.</t>
  </si>
  <si>
    <t>Masera' di Padova</t>
  </si>
  <si>
    <t>Fineagroup</t>
  </si>
  <si>
    <t>Via Nuova 2, San Giovanni in Persiceto (BO)</t>
  </si>
  <si>
    <t>Finea Group Srl - dal 2008 - P.IVA 01749710388 - FV civili/industriali, accumulo, manutenzione programmata, revamping, audit energetici, comunita energetiche (CER). Copre BO/MO/FE. Contatti via form.</t>
  </si>
  <si>
    <t>San Giovanni in Persiceto</t>
  </si>
  <si>
    <t>Chiarini e Ferrari IT S.r.l.</t>
  </si>
  <si>
    <t>Via I Maggio 8, Anzola dell'Emilia (BO)</t>
  </si>
  <si>
    <t>051 734270</t>
  </si>
  <si>
    <t>info@chiarinieferrari.it</t>
  </si>
  <si>
    <t>Chiarini e Ferrari Impianti Tecnologici S.r.l. - dal 1970, certificata CSQ - P.IVA 01757971203 - FV, impianti elettrici, manutenzione, revamping, CERTIFICAZIONI SPI/SPG, CEI 0-16/0-21, Del. 786/2016. Commerciale ute@chiarinieferrari.it; PEC chiarinieferrariit@pec.it. Copre BO/MO/PR.</t>
  </si>
  <si>
    <t>Anzola dell'Emilia</t>
  </si>
  <si>
    <t>Azzoni Impianti (AM Elettronica)</t>
  </si>
  <si>
    <t>Via G. Saragat 25, Crescentino (VC)</t>
  </si>
  <si>
    <t>333 4864707</t>
  </si>
  <si>
    <t>AM Elettronica di Azzoni Maurizio - impresa individuale - ATECO 43.21.01 - FV, impianti elettrici civili/industriali, domotica, illuminazione LED. Ref. Maurizio Azzoni (cell).</t>
  </si>
  <si>
    <t>Piemonte</t>
  </si>
  <si>
    <t>VC</t>
  </si>
  <si>
    <t>Crescentino</t>
  </si>
  <si>
    <t>EcoHouse S.r.l.s.</t>
  </si>
  <si>
    <t>Via Per Bianze, Tronzano Vercellese (VC)</t>
  </si>
  <si>
    <t>334 7497002</t>
  </si>
  <si>
    <t>SOSTITUISCE 'Energie Italiane' (risultata portale SEO con sede in Liguria, non installatore locale VC). EcoHouse S.r.l.s. - sede Tronzano Vercellese (VC) - impianti FV in Piemonte, monitoraggio e manutenzione, preventivi gratuiti.</t>
  </si>
  <si>
    <t>Tronzano Vercellese</t>
  </si>
  <si>
    <t>Testa Marco &amp; C. S.r.l.</t>
  </si>
  <si>
    <t>Via San Sebastiano 17, Saluggia (VC)</t>
  </si>
  <si>
    <t>0161 486912</t>
  </si>
  <si>
    <t>SOSTITUISCE 'Valoresolare' (portale lead-gen, non installatore locale). Testa Marco &amp; C. S.r.l. - dal 1972 - P.IVA 01499880027 - realizzazione e manutenzione impianti elettrici e FV civili/industriali, colonnine ricarica EV, antifurto FV. Attiva in tutto il Nord Italia (Fax 0161 480071).</t>
  </si>
  <si>
    <t>Saluggia</t>
  </si>
  <si>
    <t>Energy Impianti (Salutari)</t>
  </si>
  <si>
    <t>Via della Stazione 9, Gavorrano (GR)</t>
  </si>
  <si>
    <t>379 2946488</t>
  </si>
  <si>
    <t>Energy Impianti di Salutari Fabrizio - esperienza trentennale - progettazione, installazione e MANUTENZIONE FV, impianti elettrici civili/industriali, automazioni, allarmi, videosorveglianza. Copre Grosseto e Maremma toscana.</t>
  </si>
  <si>
    <t>Gavorrano</t>
  </si>
  <si>
    <t>New Service Group</t>
  </si>
  <si>
    <t>Via Aurelia Nord 32, Grosseto (GR)</t>
  </si>
  <si>
    <t>0564 417127</t>
  </si>
  <si>
    <t>N.S.G. (New Service Group) S.a.s. di Ceccotti Fabio e C. - dal 1991 - FV chiavi in mano + CONTRATTO di manutenzione preventiva FV, impianti elettrici, videosorveglianza, antincendio, fibra. Altri num. 0564 422766 / 333 2355046.</t>
  </si>
  <si>
    <t>FBC Italia</t>
  </si>
  <si>
    <t>Gruppo FBC - consulenza utenze/efficienza energetica + progettazione, installazione, monitoraggio e manutenzione FV, relamping/illuminazione. Brand Life/Utilicon. Contatti via form.</t>
  </si>
  <si>
    <t>Emme Esse Solar (Garoli &amp; Pagano S.n.c.)</t>
  </si>
  <si>
    <t>Cernusco sul Naviglio (MI) - area Martesana</t>
  </si>
  <si>
    <t>02 92108704 (verificato)</t>
  </si>
  <si>
    <t>Servizi: installazione + manutenzione + pulizia pannelli + monitoraggio + CER. Fatturato: n.d. (richiedere visura). Dipendenti: n.d. Contatto: soci Garoli/Pagano. Copre Cernusco s/N, Pioltello, Segrate, Vimodrone, Carugate, Agrate Brianza, Vimercate, Gorgonzola, Melzo, Pozzuolo Martesana.</t>
  </si>
  <si>
    <t>Cernusco sul Naviglio</t>
  </si>
  <si>
    <t>02 92108704</t>
  </si>
  <si>
    <t>Dentro Il Sole S.r.l.</t>
  </si>
  <si>
    <t>Via Giuseppe Parini 96, Gorgonzola (MI)</t>
  </si>
  <si>
    <t>02 94435188 (verificato)</t>
  </si>
  <si>
    <t>Servizi: installazione FV + manutenzione/riparazione + coperture/amianto (pulizia da confermare). Fatturato: 3-6 mln EUR (2023). Dipendenti: n.d. Sito: non presente. P.IVA 06165480960.</t>
  </si>
  <si>
    <t>n.d. (da reperire)</t>
  </si>
  <si>
    <t>Gorgonzola</t>
  </si>
  <si>
    <t>02 94435188</t>
  </si>
  <si>
    <t>D.M.L. Idee (Impianti Fotovoltaici)</t>
  </si>
  <si>
    <t>Via Teruzzi 46, Brugherio (MB)</t>
  </si>
  <si>
    <t>039 2242708 (verificato)</t>
  </si>
  <si>
    <t>info@dmlidee.com</t>
  </si>
  <si>
    <t>Servizi: installazione FV + accumulo + sostituzione inverter + assistenza (pulizia da confermare). Fatturato: n.d. (richiedere visura). Dipendenti: n.d. Copre Brugherio/Monza/Milano. (sostituisce 'Euroimpianti', omonimi non verificabili).</t>
  </si>
  <si>
    <t>MB</t>
  </si>
  <si>
    <t>Brugherio</t>
  </si>
  <si>
    <t>039 2242708</t>
  </si>
  <si>
    <t>Zd Mechatronics S.r.l.</t>
  </si>
  <si>
    <t>Via Ticino 30, Gorgonzola (MI)</t>
  </si>
  <si>
    <t>02 95746283 (verificato)</t>
  </si>
  <si>
    <t>Servizi: elettronica/automazioni; per il FV accumulo + installazione/manutenzione + DiCo/DiRi (FV NON core; pulizia non dichiarata). Fatturato: n.d. (richiedere visura). Dipendenti: 6-10. P.IVA 05301370960.</t>
  </si>
  <si>
    <t>02 95746283</t>
  </si>
  <si>
    <t>Petalo S.r.l.</t>
  </si>
  <si>
    <t>Via Gorizia 38, Osnago (LC)</t>
  </si>
  <si>
    <t>039 2262423 (verificato)</t>
  </si>
  <si>
    <t>info@petalo.net</t>
  </si>
  <si>
    <t>Servizi: installazione FV + solare termico + monitoraggio + manutenzione + lavaggio pannelli + coperture/amianto (studio di ingegneria, dal 2009). Fatturato: n.d. (richiedere visura). Dipendenti: n.d. Opera su LC/MI/MB/BG/CO/Busto Arsizio/Pavia (incl. Magentino).</t>
  </si>
  <si>
    <t>Osnago</t>
  </si>
  <si>
    <t>039 2262423</t>
  </si>
  <si>
    <t>Intech Group S.r.l.</t>
  </si>
  <si>
    <t>Via Guido Reni 4, Busto Garolfo (MI)</t>
  </si>
  <si>
    <t>0331 561021 (verificato)</t>
  </si>
  <si>
    <t>a.bottini@intechgroup.eu</t>
  </si>
  <si>
    <t>Servizi: installazione + manutenzione impianti elettrici/industriali + fotovoltaico + riscaldamento + videosorveglianza (pulizia da confermare; oltre 10 anni). Fatturato: 1,5-3 mln EUR (2020). Dipendenti: n.d. Contatto: Bottini. P.IVA 04987300961.</t>
  </si>
  <si>
    <t>0331 561021</t>
  </si>
  <si>
    <t>EMV Group</t>
  </si>
  <si>
    <t>Via Bergamo 25, Lainate (MI)</t>
  </si>
  <si>
    <t>02 93571759 (verificato)</t>
  </si>
  <si>
    <t>Servizi: impianti tecnologici - fotovoltaico (progettazione/posa/collaudo/riparazione), elettrico, termoidraulico, antincendio, cogenerazione (pulizia da confermare). Fatturato: n.d. (richiedere visura). Dipendenti: n.d. P.IVA 12193520157.</t>
  </si>
  <si>
    <t>Lainate</t>
  </si>
  <si>
    <t>02 93571759</t>
  </si>
  <si>
    <t>Tecnoelettrica Bragoni</t>
  </si>
  <si>
    <t>Corbetta (MI)</t>
  </si>
  <si>
    <t>02 9243936 (verificato)</t>
  </si>
  <si>
    <t>Servizi: installazione FV + sistemi storage + gestione pratiche GSE e Portale Produttori Enel + test interfacce CEI 0-21 (pulizia da confermare). Fatturato: n.d. (richiedere visura). Dipendenti: n.d. Copre Corbetta e Magentino. (sostituisce 'Davom').</t>
  </si>
  <si>
    <t>Corbetta</t>
  </si>
  <si>
    <t>02 9243936</t>
  </si>
  <si>
    <t>OEMpv S.r.l.</t>
  </si>
  <si>
    <t>Viale Combattenti Alleati d'Europa 9/G, Rovigo (RO)</t>
  </si>
  <si>
    <t>0425 471055</t>
  </si>
  <si>
    <t>info@oempv.it</t>
  </si>
  <si>
    <t>NAZIONALE — OEMpv S.r.l., dal 2010, O&amp;M grandi impianti FV utility-scale su 7 sedi nazionali: gestione/conduzione/manutenzione + Asset Management + Revamping/Repowering + lavaggio + sfalcio verde + telecontrollo H24/365. P.IVA 01411390295; PEC oempv@legalmail.it; fondo IMPAX dal 2022.</t>
  </si>
  <si>
    <t>RO</t>
  </si>
  <si>
    <t>Rovigo</t>
  </si>
  <si>
    <t>Solteck O&amp;M</t>
  </si>
  <si>
    <t>Roma (RM)</t>
  </si>
  <si>
    <t>info@solteck.it</t>
  </si>
  <si>
    <t>NAZIONALE — Sol.teck (Solteck O&amp;M), manutenzione ordinaria/straordinaria FV con presenza capillare nazionale: pulizia moduli, check inverter/quadri/stringhe, monitoraggio, interventi tempestivi. P.IVA 08257531007 (CCIAA Roma). Contatti via form.</t>
  </si>
  <si>
    <t>Lazio</t>
  </si>
  <si>
    <t>RM</t>
  </si>
  <si>
    <t>Roma</t>
  </si>
  <si>
    <t>i-Pergola S.r.l.</t>
  </si>
  <si>
    <t>Via Flero 28, Brescia (BS)</t>
  </si>
  <si>
    <t>NAZIONALE — i-Pergola S.r.l. (PMI innovativa/Societa Benefit), O&amp;M utility-scale: gestione amministrativa (Dogane/GSE), manutenzione ord./straord., lavaggio (manuale/drone/robot), verifica quinquennale terra+SPI, taratura contatore fiscale, prova rele SPI, pronto intervento; anche EPC e produzione PV. Sedi BS/VR/PC/RA. P.IVA 04363870983. Contatti via form.</t>
  </si>
  <si>
    <t>Brescia</t>
  </si>
  <si>
    <t>Servicetec</t>
  </si>
  <si>
    <t>Z.I.S. Scolastica, Via E. Flaiano, Corropoli (TE)</t>
  </si>
  <si>
    <t>0861 839230</t>
  </si>
  <si>
    <t>NAZIONALE — Servicetec, installazione + assistenza + manutenzione FV: adeguamenti ARERA (243/2013, 421/2014, 595/2014), VERIFICHE PERIODICHE SPI CEI 0-16/0-21, verifiche lato AC/DC e test moduli STC, monitoraggio. Sede Corropoli (TE). Contatti via form.</t>
  </si>
  <si>
    <t>Abruzzo</t>
  </si>
  <si>
    <t>TE</t>
  </si>
  <si>
    <t>Corropoli</t>
  </si>
  <si>
    <t>Assistenze Fotovoltaico S.r.l.</t>
  </si>
  <si>
    <t>Verona (VR)</t>
  </si>
  <si>
    <t>NAZIONALE — Assistenze Fotovoltaico S.r.l., dal 2012, oltre 2000 impianti: realizzazione, manutenzione e gestione FV su tutto il territorio nazionale (da 10 kW a impianti industriali 1-10 MW), monitoraggio remoto, pulizia periodica, chiavi in mano. Sede Verona. Contatti via form.</t>
  </si>
  <si>
    <t>VR</t>
  </si>
  <si>
    <t>Verona</t>
  </si>
  <si>
    <t>Soland S.r.l.</t>
  </si>
  <si>
    <t>S.S. 11 Km 46,500, Borgo d'Ale (VC)</t>
  </si>
  <si>
    <t>0161 49537</t>
  </si>
  <si>
    <t>info@soland.it</t>
  </si>
  <si>
    <t>NORD ITALIA — Soland S.r.l., Service O&amp;M (gestisce 350+ impianti, oltre 40 MW Nord Italia): manutenzione ordinaria programmata + telegestione remota (Centrale Analisi Dati) + lavaggio robotizzato + supporto amministrativo (GSE/DSO/Dogane/ARERA/Trader) + manutenzione straordinaria + termografia. Anche FV/revamping/e-mobility. P.IVA 02693120020 (anche 0161 49649).</t>
  </si>
  <si>
    <t>Borgo d'Ale</t>
  </si>
  <si>
    <t>Omnia S.r.l.</t>
  </si>
  <si>
    <t>Nogara (VR)</t>
  </si>
  <si>
    <t>800 910464</t>
  </si>
  <si>
    <t>info@omnia.pro</t>
  </si>
  <si>
    <t>NORD ITALIA — Omnia S.r.l. (sedi Nogara VR + Monsano AN), manutenzione FV (ordinaria/predittiva/preventiva/migliorativa), contratto O&amp;M, monitoraggio, lavaggio + verde, straordinaria con ADEGUAMENTI delibere 243/13, 421/14, 613/16, 595/14 e 786/16 (verifiche periodiche SPI), revamping, due diligence, smaltimento, verifica linee vita. Opera VE/MN/BS/MI/BO. P.IVA 04117260234 (num. verde AN 800 161803).</t>
  </si>
  <si>
    <t>Nogara</t>
  </si>
  <si>
    <t>Xiber Energy Solutions S.r.l.</t>
  </si>
  <si>
    <t>Via Padana Superiore 19, Vimodrone (MI)</t>
  </si>
  <si>
    <t>info@xiber-es.com</t>
  </si>
  <si>
    <t>NORD ITALIA — Xiber Energy Solutions S.r.l. (sedi Vimodrone MI + Formigine MO), programma manutenzione ord./straord.: monitoraggio, termografia drone, elettroluminescenza, lavaggio acqua osmotizzata, Solar Coach (asset mgmt), pratiche connessione/post-installazione + consulenza energetica (diagnosi, energy manager) + FV industriale/accumulo/revamping. P.IVA 12724770966. Contatti via form.</t>
  </si>
  <si>
    <t>Vimodrone</t>
  </si>
  <si>
    <t>L. Impianti Elettrici S.r.l.</t>
  </si>
  <si>
    <t>Piazzale Luigi Cadorna 9, Milano (MI)</t>
  </si>
  <si>
    <t>PISCIOTTI — L. Impianti Elettrici S.r.l., impianti elettrici; sede Milano. P.IVA 08980000965; REA MI-2060390; PEC l.impiantielettrici@lamiapec.it; fatturato 1.316.426 EUR (2024); 8 dipendenti (2026).</t>
  </si>
  <si>
    <t>Milano</t>
  </si>
  <si>
    <t>l.impiantielettrici@lamiapec.it</t>
  </si>
  <si>
    <t>Termoelettrica S.r.l.</t>
  </si>
  <si>
    <t>Via Roma 102, Castel d'Azzano (VR)</t>
  </si>
  <si>
    <t>340 9616705</t>
  </si>
  <si>
    <t>PISCIOTTI — Termoelettrica S.r.l., sistemi/servizio fotovoltaico (Castel d'Azzano VR). Valutazione Google 5,0 (6 recensioni).</t>
  </si>
  <si>
    <t>Castel d'Azzano</t>
  </si>
  <si>
    <t>dal sito sembra struturato ed affidabile</t>
  </si>
  <si>
    <t xml:space="preserve">Grandi, piu di 30 anni di esperienza. </t>
  </si>
  <si>
    <t>Grandi, strutturati</t>
  </si>
  <si>
    <t>non esiste</t>
  </si>
  <si>
    <t>no: PMI innovativa e Società Benefit</t>
  </si>
  <si>
    <t>Fanno di tutto, anche formazione e consulenza.</t>
  </si>
  <si>
    <t>Sembrano piu consulenti.</t>
  </si>
  <si>
    <t>Forse un po'lontano (Nord)</t>
  </si>
  <si>
    <t xml:space="preserve">Piemonte, il sito non funziona… </t>
  </si>
  <si>
    <t>amministrazione@fineagroup.it</t>
  </si>
  <si>
    <t>info@munarigroup.it
(nuova email)</t>
  </si>
  <si>
    <t>non interessati (troppo lavoro)</t>
  </si>
  <si>
    <t>Telefonata + eMail</t>
  </si>
  <si>
    <t>info@e-teamsrl.com</t>
  </si>
  <si>
    <t>Non Adesso</t>
  </si>
  <si>
    <t>Attesa Risposta</t>
  </si>
  <si>
    <t>No</t>
  </si>
  <si>
    <t>Telefonata
Deve valutare cosa può offrire e richiama</t>
  </si>
  <si>
    <t>Stato Richiesta</t>
  </si>
  <si>
    <t>Nota Richiesta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</si>
</sst>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u/>
      <sz val="10"/>
      <color rgb="FF0563C1"/>
      <name val="Calibri"/>
      <charset val="1"/>
    </font>
    <font>
      <u/>
      <sz val="11"/>
      <color theme="1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6E43"/>
        <bgColor rgb="FF008080"/>
      </patternFill>
    </fill>
    <fill>
      <patternFill patternType="solid">
        <fgColor rgb="FFEAF7EE"/>
        <bgColor rgb="FFE7F0FF"/>
      </patternFill>
    </fill>
    <fill>
      <patternFill patternType="solid">
        <fgColor rgb="FFFFF7E0"/>
        <bgColor rgb="FFFFFFFF"/>
      </patternFill>
    </fill>
    <fill>
      <patternFill patternType="solid">
        <fgColor rgb="FFE7F0FF"/>
        <bgColor rgb="FFEAF7E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E7F0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0" tint="-0.14999847407452621"/>
        <bgColor rgb="FFE7F0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vertical="top" wrapText="1"/>
    </xf>
    <xf numFmtId="164" fontId="2" fillId="5" borderId="1" xfId="0" applyNumberFormat="1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4" fillId="0" borderId="1" xfId="1" applyBorder="1" applyAlignment="1">
      <alignment vertical="top" wrapText="1"/>
    </xf>
    <xf numFmtId="0" fontId="4" fillId="4" borderId="1" xfId="1" applyFill="1" applyBorder="1" applyAlignment="1">
      <alignment vertical="top" wrapText="1"/>
    </xf>
    <xf numFmtId="0" fontId="0" fillId="6" borderId="0" xfId="0" applyFill="1" applyAlignment="1">
      <alignment horizontal="left" vertical="top" wrapText="1"/>
    </xf>
    <xf numFmtId="0" fontId="2" fillId="7" borderId="1" xfId="0" applyFont="1" applyFill="1" applyBorder="1" applyAlignment="1">
      <alignment vertical="top" wrapText="1"/>
    </xf>
    <xf numFmtId="164" fontId="2" fillId="7" borderId="1" xfId="0" applyNumberFormat="1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left" vertical="top"/>
    </xf>
    <xf numFmtId="0" fontId="0" fillId="6" borderId="0" xfId="0" applyFill="1"/>
    <xf numFmtId="0" fontId="0" fillId="8" borderId="0" xfId="0" applyFill="1" applyAlignment="1">
      <alignment horizontal="left" vertical="top" wrapText="1"/>
    </xf>
    <xf numFmtId="0" fontId="2" fillId="8" borderId="1" xfId="0" applyFont="1" applyFill="1" applyBorder="1" applyAlignment="1">
      <alignment vertical="top" wrapText="1"/>
    </xf>
    <xf numFmtId="164" fontId="2" fillId="8" borderId="1" xfId="0" applyNumberFormat="1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left" vertical="top"/>
    </xf>
    <xf numFmtId="0" fontId="0" fillId="8" borderId="0" xfId="0" applyFill="1"/>
    <xf numFmtId="0" fontId="2" fillId="10" borderId="1" xfId="0" applyFont="1" applyFill="1" applyBorder="1" applyAlignment="1">
      <alignment vertical="top" wrapText="1"/>
    </xf>
    <xf numFmtId="164" fontId="2" fillId="10" borderId="1" xfId="0" applyNumberFormat="1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left" vertical="top"/>
    </xf>
    <xf numFmtId="0" fontId="4" fillId="0" borderId="1" xfId="1" quotePrefix="1" applyBorder="1" applyAlignment="1">
      <alignment vertical="top" wrapText="1"/>
    </xf>
    <xf numFmtId="164" fontId="2" fillId="6" borderId="1" xfId="0" applyNumberFormat="1" applyFont="1" applyFill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43"/>
      <rgbColor rgb="FFB0B0B0"/>
      <rgbColor rgb="FF808080"/>
      <rgbColor rgb="FF9999FF"/>
      <rgbColor rgb="FF993366"/>
      <rgbColor rgb="FFFFF7E0"/>
      <rgbColor rgb="FFEAF7EE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0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chiarinieferrari.it" TargetMode="External"/><Relationship Id="rId3" Type="http://schemas.openxmlformats.org/officeDocument/2006/relationships/hyperlink" Target="mailto:info@oempv.it" TargetMode="External"/><Relationship Id="rId7" Type="http://schemas.openxmlformats.org/officeDocument/2006/relationships/hyperlink" Target="mailto:info@greentechimpianti.com" TargetMode="External"/><Relationship Id="rId2" Type="http://schemas.openxmlformats.org/officeDocument/2006/relationships/hyperlink" Target="mailto:info@soland.it" TargetMode="External"/><Relationship Id="rId1" Type="http://schemas.openxmlformats.org/officeDocument/2006/relationships/hyperlink" Target="mailto:info@krkenergyservice.com" TargetMode="External"/><Relationship Id="rId6" Type="http://schemas.openxmlformats.org/officeDocument/2006/relationships/hyperlink" Target="mailto:amministrazione@fineagroup.it" TargetMode="External"/><Relationship Id="rId5" Type="http://schemas.openxmlformats.org/officeDocument/2006/relationships/hyperlink" Target="mailto:info@elettricarogeno.it" TargetMode="External"/><Relationship Id="rId10" Type="http://schemas.openxmlformats.org/officeDocument/2006/relationships/hyperlink" Target="mailto:info@e-teamsrl.com" TargetMode="External"/><Relationship Id="rId4" Type="http://schemas.openxmlformats.org/officeDocument/2006/relationships/hyperlink" Target="mailto:info@omnia.pro" TargetMode="External"/><Relationship Id="rId9" Type="http://schemas.openxmlformats.org/officeDocument/2006/relationships/hyperlink" Target="mailto:info@munarigroup.it%0a(nuova%20email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topLeftCell="B1" zoomScaleNormal="100" workbookViewId="0">
      <pane ySplit="1" topLeftCell="A4" activePane="bottomLeft" state="frozen"/>
      <selection pane="bottomLeft" activeCell="B1" sqref="A1:XFD1048576"/>
    </sheetView>
  </sheetViews>
  <sheetFormatPr defaultColWidth="28.85546875" defaultRowHeight="15" x14ac:dyDescent="0.25"/>
  <cols>
    <col min="1" max="1" width="16.42578125" style="16" bestFit="1" customWidth="1"/>
    <col min="2" max="2" width="28.7109375" style="16" bestFit="1" customWidth="1"/>
    <col min="3" max="3" width="28.5703125" bestFit="1" customWidth="1"/>
    <col min="4" max="4" width="7" bestFit="1" customWidth="1"/>
    <col min="5" max="5" width="28.5703125" bestFit="1" customWidth="1"/>
    <col min="6" max="6" width="14" bestFit="1" customWidth="1"/>
    <col min="7" max="7" width="28.7109375" bestFit="1" customWidth="1"/>
    <col min="8" max="9" width="8.42578125" bestFit="1" customWidth="1"/>
    <col min="10" max="10" width="22.85546875" bestFit="1" customWidth="1"/>
    <col min="11" max="11" width="69.85546875" bestFit="1" customWidth="1"/>
    <col min="12" max="12" width="28.7109375" bestFit="1" customWidth="1"/>
    <col min="13" max="13" width="13.7109375" bestFit="1" customWidth="1"/>
    <col min="14" max="14" width="21.5703125" bestFit="1" customWidth="1"/>
    <col min="15" max="15" width="26" bestFit="1" customWidth="1"/>
    <col min="16" max="16" width="22.85546875" bestFit="1" customWidth="1"/>
  </cols>
  <sheetData>
    <row r="1" spans="1:16" x14ac:dyDescent="0.25">
      <c r="A1" s="16" t="s">
        <v>311</v>
      </c>
      <c r="B1" s="16" t="s">
        <v>312</v>
      </c>
      <c r="C1" s="1" t="s">
        <v>6</v>
      </c>
      <c r="D1" s="1" t="s">
        <v>0</v>
      </c>
      <c r="E1" s="1" t="s">
        <v>1</v>
      </c>
      <c r="F1" s="1" t="s">
        <v>9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7</v>
      </c>
      <c r="L1" s="1" t="s">
        <v>8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s="33" customFormat="1" ht="38.25" x14ac:dyDescent="0.25">
      <c r="A2" s="16" t="s">
        <v>308</v>
      </c>
      <c r="B2" s="44" t="s">
        <v>51</v>
      </c>
      <c r="C2" s="17" t="s">
        <v>49</v>
      </c>
      <c r="D2" s="2">
        <v>5</v>
      </c>
      <c r="E2" s="2" t="s">
        <v>46</v>
      </c>
      <c r="F2" s="2" t="s">
        <v>51</v>
      </c>
      <c r="G2" s="2" t="s">
        <v>47</v>
      </c>
      <c r="H2" s="3">
        <v>44.58</v>
      </c>
      <c r="I2" s="3">
        <v>11.233000000000001</v>
      </c>
      <c r="J2" s="2" t="s">
        <v>48</v>
      </c>
      <c r="K2" s="2" t="s">
        <v>50</v>
      </c>
      <c r="L2" s="4" t="str">
        <f>HYPERLINK("https://www.greentechimpianti.com","https://www.greentechimpianti.com")</f>
        <v>https://www.greentechimpianti.com</v>
      </c>
      <c r="M2" s="5" t="s">
        <v>52</v>
      </c>
      <c r="N2" s="2" t="s">
        <v>53</v>
      </c>
      <c r="O2" s="6" t="s">
        <v>49</v>
      </c>
      <c r="P2" s="7" t="s">
        <v>54</v>
      </c>
    </row>
    <row r="3" spans="1:16" s="33" customFormat="1" ht="38.25" x14ac:dyDescent="0.25">
      <c r="A3" s="16" t="s">
        <v>308</v>
      </c>
      <c r="B3" s="44" t="s">
        <v>51</v>
      </c>
      <c r="C3" s="17" t="s">
        <v>302</v>
      </c>
      <c r="D3" s="2">
        <v>21</v>
      </c>
      <c r="E3" s="2" t="s">
        <v>147</v>
      </c>
      <c r="F3" s="2" t="s">
        <v>51</v>
      </c>
      <c r="G3" s="2" t="s">
        <v>148</v>
      </c>
      <c r="H3" s="3">
        <v>44.637999999999998</v>
      </c>
      <c r="I3" s="3">
        <v>11.183999999999999</v>
      </c>
      <c r="J3" s="2"/>
      <c r="K3" s="2" t="s">
        <v>149</v>
      </c>
      <c r="L3" s="4" t="str">
        <f>HYPERLINK("https://www.fineagroup.it","https://www.fineagroup.it")</f>
        <v>https://www.fineagroup.it</v>
      </c>
      <c r="M3" s="5" t="s">
        <v>52</v>
      </c>
      <c r="N3" s="2" t="s">
        <v>150</v>
      </c>
      <c r="O3" s="6"/>
      <c r="P3" s="7"/>
    </row>
    <row r="4" spans="1:16" s="33" customFormat="1" ht="51" x14ac:dyDescent="0.25">
      <c r="A4" s="16" t="s">
        <v>308</v>
      </c>
      <c r="B4" s="44" t="s">
        <v>51</v>
      </c>
      <c r="C4" s="17" t="s">
        <v>154</v>
      </c>
      <c r="D4" s="2">
        <v>22</v>
      </c>
      <c r="E4" s="2" t="s">
        <v>151</v>
      </c>
      <c r="F4" s="2" t="s">
        <v>51</v>
      </c>
      <c r="G4" s="2" t="s">
        <v>152</v>
      </c>
      <c r="H4" s="3">
        <v>44.545999999999999</v>
      </c>
      <c r="I4" s="3">
        <v>11.195</v>
      </c>
      <c r="J4" s="2" t="s">
        <v>153</v>
      </c>
      <c r="K4" s="2" t="s">
        <v>155</v>
      </c>
      <c r="L4" s="4" t="str">
        <f>HYPERLINK("https://www.chiarinieferrari.it","https://www.chiarinieferrari.it")</f>
        <v>https://www.chiarinieferrari.it</v>
      </c>
      <c r="M4" s="5" t="s">
        <v>52</v>
      </c>
      <c r="N4" s="2" t="s">
        <v>156</v>
      </c>
      <c r="O4" s="6" t="s">
        <v>154</v>
      </c>
      <c r="P4" s="7" t="s">
        <v>153</v>
      </c>
    </row>
    <row r="5" spans="1:16" s="33" customFormat="1" ht="38.25" x14ac:dyDescent="0.25">
      <c r="A5" s="16" t="s">
        <v>308</v>
      </c>
      <c r="B5" s="44" t="s">
        <v>293</v>
      </c>
      <c r="C5" s="17" t="s">
        <v>17</v>
      </c>
      <c r="D5" s="2">
        <v>1</v>
      </c>
      <c r="E5" s="2" t="s">
        <v>14</v>
      </c>
      <c r="F5" s="2" t="s">
        <v>19</v>
      </c>
      <c r="G5" s="2" t="s">
        <v>15</v>
      </c>
      <c r="H5" s="3">
        <v>45.575000000000003</v>
      </c>
      <c r="I5" s="3">
        <v>9.7680000000000007</v>
      </c>
      <c r="J5" s="2" t="s">
        <v>16</v>
      </c>
      <c r="K5" s="2" t="s">
        <v>18</v>
      </c>
      <c r="L5" s="4" t="str">
        <f>HYPERLINK("https://www.krkenergyservice.com","https://www.krkenergyservice.com")</f>
        <v>https://www.krkenergyservice.com</v>
      </c>
      <c r="M5" s="5" t="s">
        <v>20</v>
      </c>
      <c r="N5" s="2" t="s">
        <v>21</v>
      </c>
      <c r="O5" s="6" t="s">
        <v>17</v>
      </c>
      <c r="P5" s="7" t="s">
        <v>22</v>
      </c>
    </row>
    <row r="6" spans="1:16" s="25" customFormat="1" ht="30" x14ac:dyDescent="0.25">
      <c r="A6" s="19" t="s">
        <v>309</v>
      </c>
      <c r="B6" s="19" t="s">
        <v>304</v>
      </c>
      <c r="C6" s="38" t="s">
        <v>26</v>
      </c>
      <c r="D6" s="38">
        <v>2</v>
      </c>
      <c r="E6" s="38" t="s">
        <v>23</v>
      </c>
      <c r="F6" s="38" t="s">
        <v>19</v>
      </c>
      <c r="G6" s="38" t="s">
        <v>24</v>
      </c>
      <c r="H6" s="43">
        <v>45.575000000000003</v>
      </c>
      <c r="I6" s="43">
        <v>8.9250000000000007</v>
      </c>
      <c r="J6" s="38" t="s">
        <v>25</v>
      </c>
      <c r="K6" s="38" t="s">
        <v>27</v>
      </c>
      <c r="L6" s="22" t="str">
        <f>HYPERLINK("https://www.srelettrotecnica.it","https://www.srelettrotecnica.it")</f>
        <v>https://www.srelettrotecnica.it</v>
      </c>
      <c r="M6" s="39" t="s">
        <v>28</v>
      </c>
      <c r="N6" s="38" t="s">
        <v>29</v>
      </c>
      <c r="O6" s="40" t="s">
        <v>26</v>
      </c>
      <c r="P6" s="41" t="s">
        <v>30</v>
      </c>
    </row>
    <row r="7" spans="1:16" ht="38.25" x14ac:dyDescent="0.25">
      <c r="A7" s="16" t="s">
        <v>308</v>
      </c>
      <c r="B7" s="16" t="s">
        <v>305</v>
      </c>
      <c r="C7" s="42" t="s">
        <v>306</v>
      </c>
      <c r="D7" s="2">
        <v>3</v>
      </c>
      <c r="E7" s="2" t="s">
        <v>31</v>
      </c>
      <c r="F7" s="2" t="s">
        <v>19</v>
      </c>
      <c r="G7" s="2" t="s">
        <v>32</v>
      </c>
      <c r="H7" s="3">
        <v>45.610999999999997</v>
      </c>
      <c r="I7" s="3">
        <v>8.8490000000000002</v>
      </c>
      <c r="J7" s="2" t="s">
        <v>33</v>
      </c>
      <c r="K7" s="2" t="s">
        <v>34</v>
      </c>
      <c r="L7" s="4" t="str">
        <f>HYPERLINK("https://www.energyteamimpianti.com","https://www.energyteamimpianti.com")</f>
        <v>https://www.energyteamimpianti.com</v>
      </c>
      <c r="M7" s="5" t="s">
        <v>35</v>
      </c>
      <c r="N7" s="2" t="s">
        <v>36</v>
      </c>
      <c r="O7" s="6"/>
      <c r="P7" s="7" t="s">
        <v>37</v>
      </c>
    </row>
    <row r="8" spans="1:16" ht="51" x14ac:dyDescent="0.25">
      <c r="A8" s="16" t="s">
        <v>308</v>
      </c>
      <c r="B8" s="16" t="s">
        <v>300</v>
      </c>
      <c r="C8" s="17" t="s">
        <v>58</v>
      </c>
      <c r="D8" s="2">
        <v>6</v>
      </c>
      <c r="E8" s="2" t="s">
        <v>55</v>
      </c>
      <c r="F8" s="2" t="s">
        <v>19</v>
      </c>
      <c r="G8" s="2" t="s">
        <v>56</v>
      </c>
      <c r="H8" s="3">
        <v>45.786999999999999</v>
      </c>
      <c r="I8" s="3">
        <v>9.27</v>
      </c>
      <c r="J8" s="2" t="s">
        <v>57</v>
      </c>
      <c r="K8" s="2" t="s">
        <v>59</v>
      </c>
      <c r="L8" s="4" t="str">
        <f>HYPERLINK("https://www.elettricarogeno.it","https://www.elettricarogeno.it")</f>
        <v>https://www.elettricarogeno.it</v>
      </c>
      <c r="M8" s="5" t="s">
        <v>60</v>
      </c>
      <c r="N8" s="2" t="s">
        <v>61</v>
      </c>
      <c r="O8" s="6" t="s">
        <v>58</v>
      </c>
      <c r="P8" s="7" t="s">
        <v>62</v>
      </c>
    </row>
    <row r="9" spans="1:16" ht="60" x14ac:dyDescent="0.25">
      <c r="A9" s="16" t="s">
        <v>308</v>
      </c>
      <c r="B9" s="16" t="s">
        <v>310</v>
      </c>
      <c r="C9" s="12"/>
      <c r="D9" s="12">
        <v>45</v>
      </c>
      <c r="E9" s="12" t="s">
        <v>283</v>
      </c>
      <c r="F9" s="12" t="s">
        <v>19</v>
      </c>
      <c r="G9" s="12" t="s">
        <v>284</v>
      </c>
      <c r="H9" s="13">
        <v>45.468000000000004</v>
      </c>
      <c r="I9" s="13">
        <v>9.1760000000000002</v>
      </c>
      <c r="J9" s="12"/>
      <c r="K9" s="12" t="s">
        <v>285</v>
      </c>
      <c r="L9" s="2" t="s">
        <v>195</v>
      </c>
      <c r="M9" s="14" t="s">
        <v>28</v>
      </c>
      <c r="N9" s="12" t="s">
        <v>286</v>
      </c>
      <c r="O9" s="12" t="s">
        <v>287</v>
      </c>
      <c r="P9" s="15"/>
    </row>
    <row r="10" spans="1:16" ht="63.75" x14ac:dyDescent="0.25">
      <c r="A10" s="16" t="s">
        <v>308</v>
      </c>
      <c r="B10" s="16" t="s">
        <v>294</v>
      </c>
      <c r="C10" s="18" t="s">
        <v>269</v>
      </c>
      <c r="D10" s="8">
        <v>42</v>
      </c>
      <c r="E10" s="8" t="s">
        <v>266</v>
      </c>
      <c r="F10" s="8" t="s">
        <v>161</v>
      </c>
      <c r="G10" s="8" t="s">
        <v>267</v>
      </c>
      <c r="H10" s="9">
        <v>45.344999999999999</v>
      </c>
      <c r="I10" s="9">
        <v>8.0660000000000007</v>
      </c>
      <c r="J10" s="8" t="s">
        <v>268</v>
      </c>
      <c r="K10" s="8" t="s">
        <v>270</v>
      </c>
      <c r="L10" s="4" t="str">
        <f>HYPERLINK("https://www.soland.it","https://www.soland.it")</f>
        <v>https://www.soland.it</v>
      </c>
      <c r="M10" s="10" t="s">
        <v>162</v>
      </c>
      <c r="N10" s="8" t="s">
        <v>271</v>
      </c>
      <c r="O10" s="8" t="s">
        <v>269</v>
      </c>
      <c r="P10" s="11" t="s">
        <v>268</v>
      </c>
    </row>
    <row r="11" spans="1:16" ht="38.25" x14ac:dyDescent="0.25">
      <c r="A11" s="16" t="s">
        <v>308</v>
      </c>
      <c r="C11" s="17" t="s">
        <v>303</v>
      </c>
      <c r="D11" s="2">
        <v>19</v>
      </c>
      <c r="E11" s="2" t="s">
        <v>137</v>
      </c>
      <c r="F11" s="2" t="s">
        <v>42</v>
      </c>
      <c r="G11" s="2" t="s">
        <v>138</v>
      </c>
      <c r="H11" s="3">
        <v>45.555</v>
      </c>
      <c r="I11" s="3">
        <v>11.712999999999999</v>
      </c>
      <c r="J11" s="2"/>
      <c r="K11" s="2" t="s">
        <v>140</v>
      </c>
      <c r="L11" s="4" t="str">
        <f>HYPERLINK("https://www.munarigroup.it","https://www.munarigroup.it")</f>
        <v>https://www.munarigroup.it</v>
      </c>
      <c r="M11" s="5" t="s">
        <v>134</v>
      </c>
      <c r="N11" s="2" t="s">
        <v>141</v>
      </c>
      <c r="O11" s="6" t="s">
        <v>139</v>
      </c>
      <c r="P11" s="7"/>
    </row>
    <row r="12" spans="1:16" ht="51" x14ac:dyDescent="0.25">
      <c r="A12" s="16" t="s">
        <v>308</v>
      </c>
      <c r="B12" s="16" t="s">
        <v>295</v>
      </c>
      <c r="C12" s="18" t="s">
        <v>239</v>
      </c>
      <c r="D12" s="8">
        <v>37</v>
      </c>
      <c r="E12" s="8" t="s">
        <v>236</v>
      </c>
      <c r="F12" s="8" t="s">
        <v>42</v>
      </c>
      <c r="G12" s="8" t="s">
        <v>237</v>
      </c>
      <c r="H12" s="9">
        <v>45.07</v>
      </c>
      <c r="I12" s="9">
        <v>11.79</v>
      </c>
      <c r="J12" s="8" t="s">
        <v>238</v>
      </c>
      <c r="K12" s="8" t="s">
        <v>240</v>
      </c>
      <c r="L12" s="4" t="str">
        <f>HYPERLINK("https://oempv.it","https://oempv.it")</f>
        <v>https://oempv.it</v>
      </c>
      <c r="M12" s="10" t="s">
        <v>241</v>
      </c>
      <c r="N12" s="8" t="s">
        <v>242</v>
      </c>
      <c r="O12" s="8" t="s">
        <v>239</v>
      </c>
      <c r="P12" s="11" t="s">
        <v>238</v>
      </c>
    </row>
    <row r="13" spans="1:16" ht="51" x14ac:dyDescent="0.25">
      <c r="A13" s="16" t="s">
        <v>308</v>
      </c>
      <c r="C13" s="8"/>
      <c r="D13" s="8">
        <v>41</v>
      </c>
      <c r="E13" s="8" t="s">
        <v>261</v>
      </c>
      <c r="F13" s="8" t="s">
        <v>42</v>
      </c>
      <c r="G13" s="8" t="s">
        <v>262</v>
      </c>
      <c r="H13" s="9">
        <v>45.438000000000002</v>
      </c>
      <c r="I13" s="9">
        <v>10.992000000000001</v>
      </c>
      <c r="J13" s="8"/>
      <c r="K13" s="8" t="s">
        <v>263</v>
      </c>
      <c r="L13" s="4" t="str">
        <f>HYPERLINK("https://www.assistenzefotovoltaico.it","https://www.assistenzefotovoltaico.it")</f>
        <v>https://www.assistenzefotovoltaico.it</v>
      </c>
      <c r="M13" s="10" t="s">
        <v>264</v>
      </c>
      <c r="N13" s="8" t="s">
        <v>265</v>
      </c>
      <c r="O13" s="8"/>
      <c r="P13" s="11"/>
    </row>
    <row r="14" spans="1:16" ht="76.5" x14ac:dyDescent="0.25">
      <c r="A14" s="16" t="s">
        <v>308</v>
      </c>
      <c r="B14" s="16" t="s">
        <v>298</v>
      </c>
      <c r="C14" s="18" t="s">
        <v>275</v>
      </c>
      <c r="D14" s="8">
        <v>43</v>
      </c>
      <c r="E14" s="8" t="s">
        <v>272</v>
      </c>
      <c r="F14" s="8" t="s">
        <v>42</v>
      </c>
      <c r="G14" s="8" t="s">
        <v>273</v>
      </c>
      <c r="H14" s="9">
        <v>45.180999999999997</v>
      </c>
      <c r="I14" s="9">
        <v>11.065</v>
      </c>
      <c r="J14" s="8" t="s">
        <v>274</v>
      </c>
      <c r="K14" s="8" t="s">
        <v>276</v>
      </c>
      <c r="L14" s="4" t="str">
        <f>HYPERLINK("https://www.omnia.pro","https://www.omnia.pro")</f>
        <v>https://www.omnia.pro</v>
      </c>
      <c r="M14" s="10" t="s">
        <v>264</v>
      </c>
      <c r="N14" s="8" t="s">
        <v>277</v>
      </c>
      <c r="O14" s="8" t="s">
        <v>275</v>
      </c>
      <c r="P14" s="11" t="s">
        <v>274</v>
      </c>
    </row>
    <row r="15" spans="1:16" ht="51" x14ac:dyDescent="0.25">
      <c r="A15" s="19" t="s">
        <v>309</v>
      </c>
      <c r="B15" s="19" t="s">
        <v>296</v>
      </c>
      <c r="C15" s="20" t="s">
        <v>245</v>
      </c>
      <c r="D15" s="20">
        <v>38</v>
      </c>
      <c r="E15" s="20" t="s">
        <v>243</v>
      </c>
      <c r="F15" s="20" t="s">
        <v>247</v>
      </c>
      <c r="G15" s="20" t="s">
        <v>244</v>
      </c>
      <c r="H15" s="21">
        <v>41.9</v>
      </c>
      <c r="I15" s="21">
        <v>12.5</v>
      </c>
      <c r="J15" s="20"/>
      <c r="K15" s="20" t="s">
        <v>246</v>
      </c>
      <c r="L15" s="22" t="str">
        <f>HYPERLINK("https://oem.solteck.it","https://oem.solteck.it")</f>
        <v>https://oem.solteck.it</v>
      </c>
      <c r="M15" s="23" t="s">
        <v>248</v>
      </c>
      <c r="N15" s="20" t="s">
        <v>249</v>
      </c>
      <c r="O15" s="20" t="s">
        <v>245</v>
      </c>
      <c r="P15" s="24"/>
    </row>
    <row r="16" spans="1:16" ht="63.75" x14ac:dyDescent="0.25">
      <c r="A16" s="19" t="s">
        <v>309</v>
      </c>
      <c r="B16" s="19" t="s">
        <v>297</v>
      </c>
      <c r="C16" s="20"/>
      <c r="D16" s="20">
        <v>39</v>
      </c>
      <c r="E16" s="20" t="s">
        <v>250</v>
      </c>
      <c r="F16" s="20" t="s">
        <v>19</v>
      </c>
      <c r="G16" s="20" t="s">
        <v>251</v>
      </c>
      <c r="H16" s="21">
        <v>45.540999999999997</v>
      </c>
      <c r="I16" s="21">
        <v>10.211</v>
      </c>
      <c r="J16" s="20"/>
      <c r="K16" s="20" t="s">
        <v>252</v>
      </c>
      <c r="L16" s="22" t="str">
        <f>HYPERLINK("https://i-pergola.it","https://i-pergola.it")</f>
        <v>https://i-pergola.it</v>
      </c>
      <c r="M16" s="23" t="s">
        <v>110</v>
      </c>
      <c r="N16" s="20" t="s">
        <v>253</v>
      </c>
      <c r="O16" s="20"/>
      <c r="P16" s="24"/>
    </row>
    <row r="17" spans="1:16" ht="63.75" x14ac:dyDescent="0.25">
      <c r="A17" s="19" t="s">
        <v>309</v>
      </c>
      <c r="B17" s="19" t="s">
        <v>299</v>
      </c>
      <c r="C17" s="20" t="s">
        <v>280</v>
      </c>
      <c r="D17" s="20">
        <v>44</v>
      </c>
      <c r="E17" s="20" t="s">
        <v>278</v>
      </c>
      <c r="F17" s="20" t="s">
        <v>19</v>
      </c>
      <c r="G17" s="20" t="s">
        <v>279</v>
      </c>
      <c r="H17" s="21">
        <v>45.515999999999998</v>
      </c>
      <c r="I17" s="21">
        <v>9.3659999999999997</v>
      </c>
      <c r="J17" s="20"/>
      <c r="K17" s="20" t="s">
        <v>281</v>
      </c>
      <c r="L17" s="22" t="str">
        <f>HYPERLINK("https://www.xiber-es.com","https://www.xiber-es.com")</f>
        <v>https://www.xiber-es.com</v>
      </c>
      <c r="M17" s="23" t="s">
        <v>28</v>
      </c>
      <c r="N17" s="20" t="s">
        <v>282</v>
      </c>
      <c r="O17" s="20" t="s">
        <v>280</v>
      </c>
      <c r="P17" s="24"/>
    </row>
    <row r="18" spans="1:16" ht="38.25" x14ac:dyDescent="0.25">
      <c r="A18" s="19" t="s">
        <v>309</v>
      </c>
      <c r="B18" s="19" t="s">
        <v>301</v>
      </c>
      <c r="C18" s="38"/>
      <c r="D18" s="38">
        <v>24</v>
      </c>
      <c r="E18" s="38" t="s">
        <v>164</v>
      </c>
      <c r="F18" s="38" t="s">
        <v>161</v>
      </c>
      <c r="G18" s="2" t="s">
        <v>165</v>
      </c>
      <c r="H18" s="3">
        <v>45.357999999999997</v>
      </c>
      <c r="I18" s="3">
        <v>8.2070000000000007</v>
      </c>
      <c r="J18" s="2" t="s">
        <v>166</v>
      </c>
      <c r="K18" s="38" t="s">
        <v>167</v>
      </c>
      <c r="L18" s="22" t="str">
        <f>HYPERLINK("https://ecohousesrls.it","https://ecohousesrls.it")</f>
        <v>https://ecohousesrls.it</v>
      </c>
      <c r="M18" s="39" t="s">
        <v>162</v>
      </c>
      <c r="N18" s="38" t="s">
        <v>168</v>
      </c>
      <c r="O18" s="40"/>
      <c r="P18" s="41" t="s">
        <v>166</v>
      </c>
    </row>
    <row r="19" spans="1:16" ht="51" x14ac:dyDescent="0.25">
      <c r="A19" s="26" t="s">
        <v>307</v>
      </c>
      <c r="B19" s="46" t="s">
        <v>258</v>
      </c>
      <c r="C19" s="34"/>
      <c r="D19" s="34">
        <v>40</v>
      </c>
      <c r="E19" s="34" t="s">
        <v>254</v>
      </c>
      <c r="F19" s="34" t="s">
        <v>258</v>
      </c>
      <c r="G19" s="34" t="s">
        <v>255</v>
      </c>
      <c r="H19" s="35">
        <v>42.83</v>
      </c>
      <c r="I19" s="35">
        <v>13.83</v>
      </c>
      <c r="J19" s="34" t="s">
        <v>256</v>
      </c>
      <c r="K19" s="34" t="s">
        <v>257</v>
      </c>
      <c r="L19" s="29" t="str">
        <f>HYPERLINK("https://servicetec.it","https://servicetec.it")</f>
        <v>https://servicetec.it</v>
      </c>
      <c r="M19" s="36" t="s">
        <v>259</v>
      </c>
      <c r="N19" s="34" t="s">
        <v>260</v>
      </c>
      <c r="O19" s="34"/>
      <c r="P19" s="37" t="s">
        <v>256</v>
      </c>
    </row>
    <row r="20" spans="1:16" ht="38.25" x14ac:dyDescent="0.25">
      <c r="A20" s="26" t="s">
        <v>307</v>
      </c>
      <c r="B20" s="47" t="s">
        <v>83</v>
      </c>
      <c r="C20" s="27" t="s">
        <v>81</v>
      </c>
      <c r="D20" s="27">
        <v>10</v>
      </c>
      <c r="E20" s="27" t="s">
        <v>78</v>
      </c>
      <c r="F20" s="27" t="s">
        <v>83</v>
      </c>
      <c r="G20" s="27" t="s">
        <v>79</v>
      </c>
      <c r="H20" s="28">
        <v>39.600999999999999</v>
      </c>
      <c r="I20" s="28">
        <v>16.518000000000001</v>
      </c>
      <c r="J20" s="27" t="s">
        <v>80</v>
      </c>
      <c r="K20" s="27" t="s">
        <v>82</v>
      </c>
      <c r="L20" s="29" t="str">
        <f>HYPERLINK("https://www.romeogroup.it","https://www.romeogroup.it")</f>
        <v>https://www.romeogroup.it</v>
      </c>
      <c r="M20" s="30" t="s">
        <v>84</v>
      </c>
      <c r="N20" s="27" t="s">
        <v>85</v>
      </c>
      <c r="O20" s="31" t="s">
        <v>81</v>
      </c>
      <c r="P20" s="32" t="s">
        <v>86</v>
      </c>
    </row>
    <row r="21" spans="1:16" ht="25.5" x14ac:dyDescent="0.25">
      <c r="A21" s="26" t="s">
        <v>307</v>
      </c>
      <c r="B21" s="47" t="s">
        <v>83</v>
      </c>
      <c r="C21" s="27"/>
      <c r="D21" s="27">
        <v>11</v>
      </c>
      <c r="E21" s="27" t="s">
        <v>87</v>
      </c>
      <c r="F21" s="27" t="s">
        <v>83</v>
      </c>
      <c r="G21" s="27" t="s">
        <v>88</v>
      </c>
      <c r="H21" s="28">
        <v>39.298000000000002</v>
      </c>
      <c r="I21" s="28">
        <v>16.254000000000001</v>
      </c>
      <c r="J21" s="27"/>
      <c r="K21" s="27" t="s">
        <v>89</v>
      </c>
      <c r="L21" s="29" t="str">
        <f>HYPERLINK("https://www.enersolare.net","https://www.enersolare.net")</f>
        <v>https://www.enersolare.net</v>
      </c>
      <c r="M21" s="30" t="s">
        <v>84</v>
      </c>
      <c r="N21" s="27" t="s">
        <v>90</v>
      </c>
      <c r="O21" s="31"/>
      <c r="P21" s="32"/>
    </row>
    <row r="22" spans="1:16" ht="25.5" x14ac:dyDescent="0.25">
      <c r="A22" s="26" t="s">
        <v>307</v>
      </c>
      <c r="B22" s="47" t="s">
        <v>103</v>
      </c>
      <c r="C22" s="27"/>
      <c r="D22" s="27">
        <v>13</v>
      </c>
      <c r="E22" s="27" t="s">
        <v>100</v>
      </c>
      <c r="F22" s="27" t="s">
        <v>103</v>
      </c>
      <c r="G22" s="27" t="s">
        <v>101</v>
      </c>
      <c r="H22" s="28"/>
      <c r="I22" s="28"/>
      <c r="J22" s="27"/>
      <c r="K22" s="27" t="s">
        <v>102</v>
      </c>
      <c r="L22" s="29" t="str">
        <f>HYPERLINK("https://www.grimaldienergia.com","https://www.grimaldienergia.com")</f>
        <v>https://www.grimaldienergia.com</v>
      </c>
      <c r="M22" s="30" t="s">
        <v>104</v>
      </c>
      <c r="N22" s="27" t="s">
        <v>104</v>
      </c>
      <c r="O22" s="31"/>
      <c r="P22" s="32"/>
    </row>
    <row r="23" spans="1:16" ht="51" x14ac:dyDescent="0.25">
      <c r="A23" s="19" t="s">
        <v>307</v>
      </c>
      <c r="B23" s="19" t="s">
        <v>161</v>
      </c>
      <c r="C23" s="38"/>
      <c r="D23" s="38">
        <v>25</v>
      </c>
      <c r="E23" s="38" t="s">
        <v>169</v>
      </c>
      <c r="F23" s="38" t="s">
        <v>161</v>
      </c>
      <c r="G23" s="2" t="s">
        <v>170</v>
      </c>
      <c r="H23" s="3">
        <v>45.235999999999997</v>
      </c>
      <c r="I23" s="3">
        <v>8.0129999999999999</v>
      </c>
      <c r="J23" s="2" t="s">
        <v>171</v>
      </c>
      <c r="K23" s="38" t="s">
        <v>172</v>
      </c>
      <c r="L23" s="22" t="str">
        <f>HYPERLINK("https://www.testamarco.com","https://www.testamarco.com")</f>
        <v>https://www.testamarco.com</v>
      </c>
      <c r="M23" s="39" t="s">
        <v>162</v>
      </c>
      <c r="N23" s="38" t="s">
        <v>173</v>
      </c>
      <c r="O23" s="40"/>
      <c r="P23" s="41" t="s">
        <v>171</v>
      </c>
    </row>
    <row r="24" spans="1:16" ht="38.25" x14ac:dyDescent="0.25">
      <c r="A24" s="19" t="s">
        <v>307</v>
      </c>
      <c r="B24" s="45" t="s">
        <v>67</v>
      </c>
      <c r="C24" s="2" t="s">
        <v>65</v>
      </c>
      <c r="D24" s="2">
        <v>7</v>
      </c>
      <c r="E24" s="2" t="s">
        <v>63</v>
      </c>
      <c r="F24" s="2" t="s">
        <v>67</v>
      </c>
      <c r="G24" s="2" t="s">
        <v>64</v>
      </c>
      <c r="H24" s="3">
        <v>40.387</v>
      </c>
      <c r="I24" s="3">
        <v>18.012</v>
      </c>
      <c r="J24" s="2"/>
      <c r="K24" s="2" t="s">
        <v>66</v>
      </c>
      <c r="L24" s="4" t="str">
        <f>HYPERLINK("https://www.gr-energy.it","https://www.gr-energy.it")</f>
        <v>https://www.gr-energy.it</v>
      </c>
      <c r="M24" s="5" t="s">
        <v>68</v>
      </c>
      <c r="N24" s="2" t="s">
        <v>69</v>
      </c>
      <c r="O24" s="6" t="s">
        <v>65</v>
      </c>
      <c r="P24" s="7"/>
    </row>
    <row r="25" spans="1:16" ht="25.5" x14ac:dyDescent="0.25">
      <c r="A25" s="19" t="s">
        <v>307</v>
      </c>
      <c r="B25" s="45" t="s">
        <v>67</v>
      </c>
      <c r="C25" s="2"/>
      <c r="D25" s="2">
        <v>8</v>
      </c>
      <c r="E25" s="2" t="s">
        <v>70</v>
      </c>
      <c r="F25" s="2" t="s">
        <v>67</v>
      </c>
      <c r="G25" s="2" t="s">
        <v>71</v>
      </c>
      <c r="H25" s="3">
        <v>40.351999999999997</v>
      </c>
      <c r="I25" s="3">
        <v>18.170000000000002</v>
      </c>
      <c r="J25" s="2"/>
      <c r="K25" s="2" t="s">
        <v>72</v>
      </c>
      <c r="L25" s="4" t="str">
        <f>HYPERLINK("https://www.qesco.it","https://www.qesco.it")</f>
        <v>https://www.qesco.it</v>
      </c>
      <c r="M25" s="5" t="s">
        <v>68</v>
      </c>
      <c r="N25" s="2" t="s">
        <v>73</v>
      </c>
      <c r="O25" s="6"/>
      <c r="P25" s="7"/>
    </row>
    <row r="26" spans="1:16" ht="25.5" x14ac:dyDescent="0.25">
      <c r="A26" s="19" t="s">
        <v>307</v>
      </c>
      <c r="B26" s="45" t="s">
        <v>67</v>
      </c>
      <c r="C26" s="2"/>
      <c r="D26" s="2">
        <v>9</v>
      </c>
      <c r="E26" s="2" t="s">
        <v>74</v>
      </c>
      <c r="F26" s="2" t="s">
        <v>67</v>
      </c>
      <c r="G26" s="2" t="s">
        <v>75</v>
      </c>
      <c r="H26" s="3">
        <v>40.173000000000002</v>
      </c>
      <c r="I26" s="3">
        <v>18.170000000000002</v>
      </c>
      <c r="J26" s="2"/>
      <c r="K26" s="2" t="s">
        <v>76</v>
      </c>
      <c r="L26" s="4" t="str">
        <f>HYPERLINK("https://www.snimpianti.it","https://www.snimpianti.it")</f>
        <v>https://www.snimpianti.it</v>
      </c>
      <c r="M26" s="5" t="s">
        <v>68</v>
      </c>
      <c r="N26" s="2" t="s">
        <v>77</v>
      </c>
      <c r="O26" s="6"/>
      <c r="P26" s="7"/>
    </row>
    <row r="27" spans="1:16" ht="25.5" x14ac:dyDescent="0.25">
      <c r="A27" s="19" t="s">
        <v>307</v>
      </c>
      <c r="B27" s="19"/>
      <c r="C27" s="38" t="s">
        <v>94</v>
      </c>
      <c r="D27" s="38">
        <v>12</v>
      </c>
      <c r="E27" s="38" t="s">
        <v>91</v>
      </c>
      <c r="F27" s="38" t="s">
        <v>96</v>
      </c>
      <c r="G27" s="38" t="s">
        <v>92</v>
      </c>
      <c r="H27" s="43">
        <v>42.762999999999998</v>
      </c>
      <c r="I27" s="43">
        <v>11.113</v>
      </c>
      <c r="J27" s="38" t="s">
        <v>93</v>
      </c>
      <c r="K27" s="38" t="s">
        <v>95</v>
      </c>
      <c r="L27" s="22" t="str">
        <f>HYPERLINK("https://www.puntoclimagr.it","https://www.puntoclimagr.it")</f>
        <v>https://www.puntoclimagr.it</v>
      </c>
      <c r="M27" s="39" t="s">
        <v>97</v>
      </c>
      <c r="N27" s="38" t="s">
        <v>98</v>
      </c>
      <c r="O27" s="40" t="s">
        <v>94</v>
      </c>
      <c r="P27" s="41" t="s">
        <v>99</v>
      </c>
    </row>
    <row r="28" spans="1:16" ht="38.25" x14ac:dyDescent="0.25">
      <c r="A28" s="19" t="s">
        <v>307</v>
      </c>
      <c r="B28" s="45" t="s">
        <v>96</v>
      </c>
      <c r="C28" s="2"/>
      <c r="D28" s="2">
        <v>26</v>
      </c>
      <c r="E28" s="2" t="s">
        <v>174</v>
      </c>
      <c r="F28" s="2" t="s">
        <v>96</v>
      </c>
      <c r="G28" s="2" t="s">
        <v>175</v>
      </c>
      <c r="H28" s="3">
        <v>42.923999999999999</v>
      </c>
      <c r="I28" s="3">
        <v>10.904999999999999</v>
      </c>
      <c r="J28" s="2" t="s">
        <v>176</v>
      </c>
      <c r="K28" s="2" t="s">
        <v>177</v>
      </c>
      <c r="L28" s="4" t="str">
        <f>HYPERLINK("https://energyimpiantigrosseto.it","https://energyimpiantigrosseto.it")</f>
        <v>https://energyimpiantigrosseto.it</v>
      </c>
      <c r="M28" s="5" t="s">
        <v>97</v>
      </c>
      <c r="N28" s="2" t="s">
        <v>178</v>
      </c>
      <c r="O28" s="6"/>
      <c r="P28" s="7" t="s">
        <v>176</v>
      </c>
    </row>
    <row r="29" spans="1:16" ht="38.25" x14ac:dyDescent="0.25">
      <c r="A29" s="19" t="s">
        <v>307</v>
      </c>
      <c r="B29" s="45" t="s">
        <v>96</v>
      </c>
      <c r="C29" s="2"/>
      <c r="D29" s="2">
        <v>27</v>
      </c>
      <c r="E29" s="2" t="s">
        <v>179</v>
      </c>
      <c r="F29" s="2" t="s">
        <v>96</v>
      </c>
      <c r="G29" s="2" t="s">
        <v>180</v>
      </c>
      <c r="H29" s="3">
        <v>42.768000000000001</v>
      </c>
      <c r="I29" s="3">
        <v>11.114000000000001</v>
      </c>
      <c r="J29" s="2" t="s">
        <v>181</v>
      </c>
      <c r="K29" s="2" t="s">
        <v>182</v>
      </c>
      <c r="L29" s="4" t="str">
        <f>HYPERLINK("https://nsgroup.it","https://nsgroup.it")</f>
        <v>https://nsgroup.it</v>
      </c>
      <c r="M29" s="5" t="s">
        <v>97</v>
      </c>
      <c r="N29" s="2" t="s">
        <v>98</v>
      </c>
      <c r="O29" s="6"/>
      <c r="P29" s="7" t="s">
        <v>181</v>
      </c>
    </row>
    <row r="30" spans="1:16" s="25" customFormat="1" ht="38.25" x14ac:dyDescent="0.25">
      <c r="A30" s="19" t="s">
        <v>307</v>
      </c>
      <c r="B30" s="45" t="s">
        <v>96</v>
      </c>
      <c r="C30" s="2"/>
      <c r="D30" s="2">
        <v>28</v>
      </c>
      <c r="E30" s="2" t="s">
        <v>183</v>
      </c>
      <c r="F30" s="2" t="s">
        <v>96</v>
      </c>
      <c r="G30" s="2" t="s">
        <v>92</v>
      </c>
      <c r="H30" s="3">
        <v>42.76</v>
      </c>
      <c r="I30" s="3">
        <v>11.106999999999999</v>
      </c>
      <c r="J30" s="2"/>
      <c r="K30" s="2" t="s">
        <v>184</v>
      </c>
      <c r="L30" s="4" t="str">
        <f>HYPERLINK("https://www.fbcitalia.it","https://www.fbcitalia.it")</f>
        <v>https://www.fbcitalia.it</v>
      </c>
      <c r="M30" s="5" t="s">
        <v>97</v>
      </c>
      <c r="N30" s="2" t="s">
        <v>98</v>
      </c>
      <c r="O30" s="6"/>
      <c r="P30" s="7"/>
    </row>
    <row r="31" spans="1:16" s="25" customFormat="1" ht="38.25" x14ac:dyDescent="0.25">
      <c r="A31" s="16"/>
      <c r="B31" s="16"/>
      <c r="C31" s="2" t="s">
        <v>108</v>
      </c>
      <c r="D31" s="2">
        <v>14</v>
      </c>
      <c r="E31" s="2" t="s">
        <v>105</v>
      </c>
      <c r="F31" s="2" t="s">
        <v>19</v>
      </c>
      <c r="G31" s="2" t="s">
        <v>106</v>
      </c>
      <c r="H31" s="3">
        <v>45.575000000000003</v>
      </c>
      <c r="I31" s="3">
        <v>9.9179999999999993</v>
      </c>
      <c r="J31" s="2" t="s">
        <v>107</v>
      </c>
      <c r="K31" s="2" t="s">
        <v>109</v>
      </c>
      <c r="L31" s="4" t="str">
        <f>HYPERLINK("https://www.gruppomossali.com","https://www.gruppomossali.com")</f>
        <v>https://www.gruppomossali.com</v>
      </c>
      <c r="M31" s="5" t="s">
        <v>110</v>
      </c>
      <c r="N31" s="2" t="s">
        <v>111</v>
      </c>
      <c r="O31" s="6" t="s">
        <v>108</v>
      </c>
      <c r="P31" s="7" t="s">
        <v>112</v>
      </c>
    </row>
    <row r="32" spans="1:16" ht="38.25" x14ac:dyDescent="0.25">
      <c r="C32" s="2"/>
      <c r="D32" s="2">
        <v>15</v>
      </c>
      <c r="E32" s="2" t="s">
        <v>113</v>
      </c>
      <c r="F32" s="2" t="s">
        <v>19</v>
      </c>
      <c r="G32" s="2" t="s">
        <v>114</v>
      </c>
      <c r="H32" s="3">
        <v>45.408999999999999</v>
      </c>
      <c r="I32" s="3">
        <v>9.2680000000000007</v>
      </c>
      <c r="J32" s="2"/>
      <c r="K32" s="2" t="s">
        <v>115</v>
      </c>
      <c r="L32" s="4" t="str">
        <f>HYPERLINK("https://www.myenergy.it","https://www.myenergy.it")</f>
        <v>https://www.myenergy.it</v>
      </c>
      <c r="M32" s="5" t="s">
        <v>28</v>
      </c>
      <c r="N32" s="2" t="s">
        <v>116</v>
      </c>
      <c r="O32" s="6"/>
      <c r="P32" s="7"/>
    </row>
    <row r="33" spans="1:16" ht="38.25" x14ac:dyDescent="0.25">
      <c r="B33" s="44"/>
      <c r="C33" s="2"/>
      <c r="D33" s="2">
        <v>16</v>
      </c>
      <c r="E33" s="2" t="s">
        <v>117</v>
      </c>
      <c r="F33" s="2" t="s">
        <v>19</v>
      </c>
      <c r="G33" s="2" t="s">
        <v>118</v>
      </c>
      <c r="H33" s="3">
        <v>45.658000000000001</v>
      </c>
      <c r="I33" s="3">
        <v>9.6519999999999992</v>
      </c>
      <c r="J33" s="2" t="s">
        <v>119</v>
      </c>
      <c r="K33" s="2" t="s">
        <v>120</v>
      </c>
      <c r="L33" s="4" t="str">
        <f>HYPERLINK("https://www.corna.it","https://www.corna.it")</f>
        <v>https://www.corna.it</v>
      </c>
      <c r="M33" s="5" t="s">
        <v>20</v>
      </c>
      <c r="N33" s="2" t="s">
        <v>121</v>
      </c>
      <c r="O33" s="6"/>
      <c r="P33" s="7" t="s">
        <v>122</v>
      </c>
    </row>
    <row r="34" spans="1:16" ht="38.25" x14ac:dyDescent="0.25">
      <c r="B34" s="44"/>
      <c r="C34" s="2"/>
      <c r="D34" s="2">
        <v>17</v>
      </c>
      <c r="E34" s="2" t="s">
        <v>123</v>
      </c>
      <c r="F34" s="2" t="s">
        <v>19</v>
      </c>
      <c r="G34" s="2" t="s">
        <v>124</v>
      </c>
      <c r="H34" s="3">
        <v>45.542000000000002</v>
      </c>
      <c r="I34" s="3">
        <v>8.8870000000000005</v>
      </c>
      <c r="J34" s="2" t="s">
        <v>125</v>
      </c>
      <c r="K34" s="2" t="s">
        <v>126</v>
      </c>
      <c r="L34" s="4" t="str">
        <f>HYPERLINK("https://elettromerlotti.it","https://elettromerlotti.it")</f>
        <v>https://elettromerlotti.it</v>
      </c>
      <c r="M34" s="5" t="s">
        <v>28</v>
      </c>
      <c r="N34" s="2" t="s">
        <v>127</v>
      </c>
      <c r="O34" s="6"/>
      <c r="P34" s="7" t="s">
        <v>128</v>
      </c>
    </row>
    <row r="35" spans="1:16" ht="51" x14ac:dyDescent="0.25">
      <c r="B35" s="44"/>
      <c r="C35" s="2"/>
      <c r="D35" s="2">
        <v>29</v>
      </c>
      <c r="E35" s="2" t="s">
        <v>185</v>
      </c>
      <c r="F35" s="2" t="s">
        <v>19</v>
      </c>
      <c r="G35" s="2" t="s">
        <v>186</v>
      </c>
      <c r="H35" s="3">
        <v>45.523000000000003</v>
      </c>
      <c r="I35" s="3">
        <v>9.3339999999999996</v>
      </c>
      <c r="J35" s="2" t="s">
        <v>187</v>
      </c>
      <c r="K35" s="2" t="s">
        <v>188</v>
      </c>
      <c r="L35" s="4" t="str">
        <f>HYPERLINK("https://www.emmeessesolar.it","https://www.emmeessesolar.it")</f>
        <v>https://www.emmeessesolar.it</v>
      </c>
      <c r="M35" s="5" t="s">
        <v>28</v>
      </c>
      <c r="N35" s="2" t="s">
        <v>189</v>
      </c>
      <c r="O35" s="6"/>
      <c r="P35" s="7" t="s">
        <v>190</v>
      </c>
    </row>
    <row r="36" spans="1:16" s="25" customFormat="1" ht="38.25" x14ac:dyDescent="0.25">
      <c r="A36" s="16"/>
      <c r="B36" s="16"/>
      <c r="C36" s="2"/>
      <c r="D36" s="2">
        <v>30</v>
      </c>
      <c r="E36" s="2" t="s">
        <v>191</v>
      </c>
      <c r="F36" s="2" t="s">
        <v>19</v>
      </c>
      <c r="G36" s="2" t="s">
        <v>192</v>
      </c>
      <c r="H36" s="3">
        <v>45.531999999999996</v>
      </c>
      <c r="I36" s="3">
        <v>9.4030000000000005</v>
      </c>
      <c r="J36" s="2" t="s">
        <v>193</v>
      </c>
      <c r="K36" s="2" t="s">
        <v>194</v>
      </c>
      <c r="L36" s="2" t="s">
        <v>195</v>
      </c>
      <c r="M36" s="5" t="s">
        <v>28</v>
      </c>
      <c r="N36" s="2" t="s">
        <v>196</v>
      </c>
      <c r="O36" s="6"/>
      <c r="P36" s="7" t="s">
        <v>197</v>
      </c>
    </row>
    <row r="37" spans="1:16" ht="38.25" x14ac:dyDescent="0.25">
      <c r="B37" s="44"/>
      <c r="C37" s="2" t="s">
        <v>201</v>
      </c>
      <c r="D37" s="2">
        <v>31</v>
      </c>
      <c r="E37" s="2" t="s">
        <v>198</v>
      </c>
      <c r="F37" s="2" t="s">
        <v>19</v>
      </c>
      <c r="G37" s="2" t="s">
        <v>199</v>
      </c>
      <c r="H37" s="3">
        <v>45.552999999999997</v>
      </c>
      <c r="I37" s="3">
        <v>9.2880000000000003</v>
      </c>
      <c r="J37" s="2" t="s">
        <v>200</v>
      </c>
      <c r="K37" s="2" t="s">
        <v>202</v>
      </c>
      <c r="L37" s="4" t="str">
        <f>HYPERLINK("https://www.dmlidee.com","https://www.dmlidee.com")</f>
        <v>https://www.dmlidee.com</v>
      </c>
      <c r="M37" s="5" t="s">
        <v>203</v>
      </c>
      <c r="N37" s="2" t="s">
        <v>204</v>
      </c>
      <c r="O37" s="6" t="s">
        <v>201</v>
      </c>
      <c r="P37" s="7" t="s">
        <v>205</v>
      </c>
    </row>
    <row r="38" spans="1:16" ht="38.25" x14ac:dyDescent="0.25">
      <c r="B38" s="44"/>
      <c r="C38" s="2"/>
      <c r="D38" s="2">
        <v>32</v>
      </c>
      <c r="E38" s="2" t="s">
        <v>206</v>
      </c>
      <c r="F38" s="2" t="s">
        <v>19</v>
      </c>
      <c r="G38" s="2" t="s">
        <v>207</v>
      </c>
      <c r="H38" s="3">
        <v>45.537399999999998</v>
      </c>
      <c r="I38" s="3">
        <v>9.4027999999999992</v>
      </c>
      <c r="J38" s="2" t="s">
        <v>208</v>
      </c>
      <c r="K38" s="2" t="s">
        <v>209</v>
      </c>
      <c r="L38" s="4" t="str">
        <f>HYPERLINK("https://www.zdmechatronics.it","https://www.zdmechatronics.it")</f>
        <v>https://www.zdmechatronics.it</v>
      </c>
      <c r="M38" s="5" t="s">
        <v>28</v>
      </c>
      <c r="N38" s="2" t="s">
        <v>196</v>
      </c>
      <c r="O38" s="6"/>
      <c r="P38" s="7" t="s">
        <v>210</v>
      </c>
    </row>
    <row r="39" spans="1:16" s="25" customFormat="1" ht="51" x14ac:dyDescent="0.25">
      <c r="A39" s="16"/>
      <c r="B39" s="44"/>
      <c r="C39" s="2" t="s">
        <v>214</v>
      </c>
      <c r="D39" s="2">
        <v>33</v>
      </c>
      <c r="E39" s="2" t="s">
        <v>211</v>
      </c>
      <c r="F39" s="2" t="s">
        <v>19</v>
      </c>
      <c r="G39" s="2" t="s">
        <v>212</v>
      </c>
      <c r="H39" s="3">
        <v>45.679000000000002</v>
      </c>
      <c r="I39" s="3">
        <v>9.3870000000000005</v>
      </c>
      <c r="J39" s="2" t="s">
        <v>213</v>
      </c>
      <c r="K39" s="2" t="s">
        <v>215</v>
      </c>
      <c r="L39" s="4" t="str">
        <f>HYPERLINK("https://www.petalo.net","https://www.petalo.net")</f>
        <v>https://www.petalo.net</v>
      </c>
      <c r="M39" s="5" t="s">
        <v>60</v>
      </c>
      <c r="N39" s="2" t="s">
        <v>216</v>
      </c>
      <c r="O39" s="6" t="s">
        <v>214</v>
      </c>
      <c r="P39" s="7" t="s">
        <v>217</v>
      </c>
    </row>
    <row r="40" spans="1:16" s="25" customFormat="1" ht="38.25" x14ac:dyDescent="0.25">
      <c r="A40" s="16"/>
      <c r="B40" s="16"/>
      <c r="C40" s="2" t="s">
        <v>221</v>
      </c>
      <c r="D40" s="2">
        <v>34</v>
      </c>
      <c r="E40" s="2" t="s">
        <v>218</v>
      </c>
      <c r="F40" s="2" t="s">
        <v>19</v>
      </c>
      <c r="G40" s="2" t="s">
        <v>219</v>
      </c>
      <c r="H40" s="3">
        <v>45.5486</v>
      </c>
      <c r="I40" s="3">
        <v>8.8734999999999999</v>
      </c>
      <c r="J40" s="2" t="s">
        <v>220</v>
      </c>
      <c r="K40" s="2" t="s">
        <v>222</v>
      </c>
      <c r="L40" s="4" t="str">
        <f>HYPERLINK("https://www.intechgroup.eu","https://www.intechgroup.eu")</f>
        <v>https://www.intechgroup.eu</v>
      </c>
      <c r="M40" s="5" t="s">
        <v>28</v>
      </c>
      <c r="N40" s="2" t="s">
        <v>127</v>
      </c>
      <c r="O40" s="6" t="s">
        <v>221</v>
      </c>
      <c r="P40" s="7" t="s">
        <v>223</v>
      </c>
    </row>
    <row r="41" spans="1:16" s="25" customFormat="1" ht="51" x14ac:dyDescent="0.25">
      <c r="A41" s="16"/>
      <c r="B41" s="16"/>
      <c r="C41" s="2"/>
      <c r="D41" s="2">
        <v>35</v>
      </c>
      <c r="E41" s="2" t="s">
        <v>224</v>
      </c>
      <c r="F41" s="2" t="s">
        <v>19</v>
      </c>
      <c r="G41" s="2" t="s">
        <v>225</v>
      </c>
      <c r="H41" s="3">
        <v>45.570999999999998</v>
      </c>
      <c r="I41" s="3">
        <v>9.0269999999999992</v>
      </c>
      <c r="J41" s="2" t="s">
        <v>226</v>
      </c>
      <c r="K41" s="2" t="s">
        <v>227</v>
      </c>
      <c r="L41" s="4" t="str">
        <f>HYPERLINK("https://www.emvgroup.eu","https://www.emvgroup.eu")</f>
        <v>https://www.emvgroup.eu</v>
      </c>
      <c r="M41" s="5" t="s">
        <v>28</v>
      </c>
      <c r="N41" s="2" t="s">
        <v>228</v>
      </c>
      <c r="O41" s="6"/>
      <c r="P41" s="7" t="s">
        <v>229</v>
      </c>
    </row>
    <row r="42" spans="1:16" ht="38.25" x14ac:dyDescent="0.25">
      <c r="C42" s="2"/>
      <c r="D42" s="2">
        <v>36</v>
      </c>
      <c r="E42" s="2" t="s">
        <v>230</v>
      </c>
      <c r="F42" s="2" t="s">
        <v>19</v>
      </c>
      <c r="G42" s="2" t="s">
        <v>231</v>
      </c>
      <c r="H42" s="3">
        <v>45.469000000000001</v>
      </c>
      <c r="I42" s="3">
        <v>8.9169999999999998</v>
      </c>
      <c r="J42" s="2" t="s">
        <v>232</v>
      </c>
      <c r="K42" s="2" t="s">
        <v>233</v>
      </c>
      <c r="L42" s="4" t="str">
        <f>HYPERLINK("https://www.bragoni.com","https://www.bragoni.com")</f>
        <v>https://www.bragoni.com</v>
      </c>
      <c r="M42" s="5" t="s">
        <v>28</v>
      </c>
      <c r="N42" s="2" t="s">
        <v>234</v>
      </c>
      <c r="O42" s="6"/>
      <c r="P42" s="7" t="s">
        <v>235</v>
      </c>
    </row>
    <row r="43" spans="1:16" ht="38.25" x14ac:dyDescent="0.25">
      <c r="C43" s="2"/>
      <c r="D43" s="2">
        <v>23</v>
      </c>
      <c r="E43" s="2" t="s">
        <v>157</v>
      </c>
      <c r="F43" s="2" t="s">
        <v>161</v>
      </c>
      <c r="G43" s="2" t="s">
        <v>158</v>
      </c>
      <c r="H43" s="3">
        <v>45.186999999999998</v>
      </c>
      <c r="I43" s="3">
        <v>8.1069999999999993</v>
      </c>
      <c r="J43" s="2" t="s">
        <v>159</v>
      </c>
      <c r="K43" s="2" t="s">
        <v>160</v>
      </c>
      <c r="L43" s="4" t="str">
        <f>HYPERLINK("https://www.azzoniimpianti.it","https://www.azzoniimpianti.it")</f>
        <v>https://www.azzoniimpianti.it</v>
      </c>
      <c r="M43" s="5" t="s">
        <v>162</v>
      </c>
      <c r="N43" s="2" t="s">
        <v>163</v>
      </c>
      <c r="O43" s="6"/>
      <c r="P43" s="7" t="s">
        <v>159</v>
      </c>
    </row>
    <row r="44" spans="1:16" ht="38.25" x14ac:dyDescent="0.25">
      <c r="C44" s="2"/>
      <c r="D44" s="2">
        <v>4</v>
      </c>
      <c r="E44" s="2" t="s">
        <v>38</v>
      </c>
      <c r="F44" s="2" t="s">
        <v>42</v>
      </c>
      <c r="G44" s="2" t="s">
        <v>39</v>
      </c>
      <c r="H44" s="3">
        <v>45.387999999999998</v>
      </c>
      <c r="I44" s="3">
        <v>12.012</v>
      </c>
      <c r="J44" s="2" t="s">
        <v>40</v>
      </c>
      <c r="K44" s="2" t="s">
        <v>41</v>
      </c>
      <c r="L44" s="4" t="str">
        <f>HYPERLINK("https://mgimpianti.net","https://mgimpianti.net")</f>
        <v>https://mgimpianti.net</v>
      </c>
      <c r="M44" s="5" t="s">
        <v>43</v>
      </c>
      <c r="N44" s="2" t="s">
        <v>44</v>
      </c>
      <c r="O44" s="6"/>
      <c r="P44" s="7" t="s">
        <v>45</v>
      </c>
    </row>
    <row r="45" spans="1:16" s="25" customFormat="1" ht="38.25" x14ac:dyDescent="0.25">
      <c r="A45" s="16"/>
      <c r="B45" s="16"/>
      <c r="C45" s="2" t="s">
        <v>132</v>
      </c>
      <c r="D45" s="2">
        <v>18</v>
      </c>
      <c r="E45" s="2" t="s">
        <v>129</v>
      </c>
      <c r="F45" s="2" t="s">
        <v>42</v>
      </c>
      <c r="G45" s="2" t="s">
        <v>130</v>
      </c>
      <c r="H45" s="3">
        <v>45.41</v>
      </c>
      <c r="I45" s="3">
        <v>11.88</v>
      </c>
      <c r="J45" s="2" t="s">
        <v>131</v>
      </c>
      <c r="K45" s="2" t="s">
        <v>133</v>
      </c>
      <c r="L45" s="4" t="str">
        <f>HYPERLINK("https://veneco.it","https://veneco.it")</f>
        <v>https://veneco.it</v>
      </c>
      <c r="M45" s="5" t="s">
        <v>134</v>
      </c>
      <c r="N45" s="2" t="s">
        <v>135</v>
      </c>
      <c r="O45" s="6" t="s">
        <v>132</v>
      </c>
      <c r="P45" s="7" t="s">
        <v>136</v>
      </c>
    </row>
    <row r="46" spans="1:16" ht="38.25" x14ac:dyDescent="0.25">
      <c r="C46" s="2"/>
      <c r="D46" s="2">
        <v>20</v>
      </c>
      <c r="E46" s="2" t="s">
        <v>142</v>
      </c>
      <c r="F46" s="2" t="s">
        <v>42</v>
      </c>
      <c r="G46" s="2" t="s">
        <v>143</v>
      </c>
      <c r="H46" s="3">
        <v>45.328000000000003</v>
      </c>
      <c r="I46" s="3">
        <v>11.872</v>
      </c>
      <c r="J46" s="2" t="s">
        <v>144</v>
      </c>
      <c r="K46" s="2" t="s">
        <v>145</v>
      </c>
      <c r="L46" s="4" t="str">
        <f>HYPERLINK("https://www.zrimpianti.it","https://www.zrimpianti.it")</f>
        <v>https://www.zrimpianti.it</v>
      </c>
      <c r="M46" s="5" t="s">
        <v>134</v>
      </c>
      <c r="N46" s="2" t="s">
        <v>146</v>
      </c>
      <c r="O46" s="6"/>
      <c r="P46" s="7" t="s">
        <v>144</v>
      </c>
    </row>
    <row r="47" spans="1:16" ht="25.5" x14ac:dyDescent="0.25">
      <c r="C47" s="12"/>
      <c r="D47" s="12">
        <v>46</v>
      </c>
      <c r="E47" s="12" t="s">
        <v>288</v>
      </c>
      <c r="F47" s="12" t="s">
        <v>42</v>
      </c>
      <c r="G47" s="12" t="s">
        <v>289</v>
      </c>
      <c r="H47" s="13">
        <v>45.353000000000002</v>
      </c>
      <c r="I47" s="13">
        <v>10.952</v>
      </c>
      <c r="J47" s="12" t="s">
        <v>290</v>
      </c>
      <c r="K47" s="12" t="s">
        <v>291</v>
      </c>
      <c r="L47" s="4" t="str">
        <f>HYPERLINK("http://www.termoelettricasrl.it","http://www.termoelettricasrl.it")</f>
        <v>http://www.termoelettricasrl.it</v>
      </c>
      <c r="M47" s="14" t="s">
        <v>264</v>
      </c>
      <c r="N47" s="12" t="s">
        <v>292</v>
      </c>
      <c r="O47" s="12"/>
      <c r="P47" s="15" t="s">
        <v>290</v>
      </c>
    </row>
  </sheetData>
  <autoFilter ref="A1:P47" xr:uid="{00000000-0001-0000-0000-000000000000}"/>
  <hyperlinks>
    <hyperlink ref="C5" r:id="rId1" xr:uid="{211E1A16-B383-4ACA-AAB8-BE104AC2D5D3}"/>
    <hyperlink ref="C10" r:id="rId2" xr:uid="{AD2C144C-F588-4D69-9D26-DF408E14A5A5}"/>
    <hyperlink ref="C12" r:id="rId3" xr:uid="{C1DF64AE-2E61-4BAD-86DF-6D33C4990C10}"/>
    <hyperlink ref="C14" r:id="rId4" xr:uid="{42F48AD3-323F-4ACA-8C7F-327D9470C9FF}"/>
    <hyperlink ref="C8" r:id="rId5" xr:uid="{843E50AB-63CD-4C9B-A2EF-62C92D6CD2B2}"/>
    <hyperlink ref="C3" r:id="rId6" xr:uid="{823C7FB8-53EF-4395-A5AB-9632E53010C2}"/>
    <hyperlink ref="C2" r:id="rId7" xr:uid="{67881EBF-A016-4EF7-B4C2-67FF2FA98B08}"/>
    <hyperlink ref="C4" r:id="rId8" xr:uid="{E162A7B0-D054-45CF-B709-B7393BBE6487}"/>
    <hyperlink ref="C11" r:id="rId9" xr:uid="{282407C6-C002-4A67-A03A-22E250910EA4}"/>
    <hyperlink ref="C7" r:id="rId10" xr:uid="{811ECEA5-6486-4316-8A34-2B708273B7D2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fornitori_compilato - Con Forni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Giuseppe Bosi</cp:lastModifiedBy>
  <cp:revision>0</cp:revision>
  <dcterms:created xsi:type="dcterms:W3CDTF">2026-06-08T16:06:47Z</dcterms:created>
  <dcterms:modified xsi:type="dcterms:W3CDTF">2026-06-08T20:29:34Z</dcterms:modified>
  <dc:language>en-US</dc:language>
</cp:coreProperties>
</file>